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GATES" sheetId="2" state="visible" r:id="rId2"/>
    <sheet xmlns:r="http://schemas.openxmlformats.org/officeDocument/2006/relationships" name="DRAFTING_PACK" sheetId="3" state="visible" r:id="rId3"/>
    <sheet xmlns:r="http://schemas.openxmlformats.org/officeDocument/2006/relationships" name="ISSUE_MATRIX" sheetId="4" state="visible" r:id="rId4"/>
    <sheet xmlns:r="http://schemas.openxmlformats.org/officeDocument/2006/relationships" name="CONTRADICTION_BRIEF" sheetId="5" state="visible" r:id="rId5"/>
    <sheet xmlns:r="http://schemas.openxmlformats.org/officeDocument/2006/relationships" name="ANCHOR_UPGRADE" sheetId="6" state="visible" r:id="rId6"/>
    <sheet xmlns:r="http://schemas.openxmlformats.org/officeDocument/2006/relationships" name="INGESTION_QUEUE" sheetId="7" state="visible" r:id="rId7"/>
    <sheet xmlns:r="http://schemas.openxmlformats.org/officeDocument/2006/relationships" name="EDGE_BUILDER" sheetId="8" state="visible" r:id="rId8"/>
    <sheet xmlns:r="http://schemas.openxmlformats.org/officeDocument/2006/relationships" name="LISTS" sheetId="9" state="hidden" r:id="rId9"/>
    <sheet xmlns:r="http://schemas.openxmlformats.org/officeDocument/2006/relationships" name="README" sheetId="10" state="visible" r:id="rId10"/>
    <sheet xmlns:r="http://schemas.openxmlformats.org/officeDocument/2006/relationships" name="DOCUMENTS" sheetId="11" state="visible" r:id="rId11"/>
    <sheet xmlns:r="http://schemas.openxmlformats.org/officeDocument/2006/relationships" name="AUTHORITIES" sheetId="12" state="visible" r:id="rId12"/>
    <sheet xmlns:r="http://schemas.openxmlformats.org/officeDocument/2006/relationships" name="RECORD_ITEMS" sheetId="13" state="visible" r:id="rId13"/>
    <sheet xmlns:r="http://schemas.openxmlformats.org/officeDocument/2006/relationships" name="ISSUES" sheetId="14" state="visible" r:id="rId14"/>
    <sheet xmlns:r="http://schemas.openxmlformats.org/officeDocument/2006/relationships" name="CLAIMS" sheetId="15" state="visible" r:id="rId15"/>
    <sheet xmlns:r="http://schemas.openxmlformats.org/officeDocument/2006/relationships" name="CONTRADICTIONS" sheetId="16" state="visible" r:id="rId16"/>
    <sheet xmlns:r="http://schemas.openxmlformats.org/officeDocument/2006/relationships" name="TASKS" sheetId="17" state="visible" r:id="rId17"/>
    <sheet xmlns:r="http://schemas.openxmlformats.org/officeDocument/2006/relationships" name="ENTITIES" sheetId="18" state="visible" r:id="rId18"/>
    <sheet xmlns:r="http://schemas.openxmlformats.org/officeDocument/2006/relationships" name="EDGES" sheetId="19" state="visible" r:id="rId19"/>
    <sheet xmlns:r="http://schemas.openxmlformats.org/officeDocument/2006/relationships" name="ALIASES" sheetId="20" state="visible" r:id="rId20"/>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xf>
    <xf numFmtId="164" fontId="0" fillId="0" borderId="0" applyAlignment="1" pivotButton="0" quotePrefix="0" xfId="0">
      <alignment vertical="top"/>
    </xf>
    <xf numFmtId="0" fontId="3" fillId="2" borderId="0" applyAlignment="1" pivotButton="0" quotePrefix="0" xfId="0">
      <alignment vertical="top" wrapText="1"/>
    </xf>
    <xf numFmtId="0" fontId="3"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ables/table1.xml><?xml version="1.0" encoding="utf-8"?>
<table xmlns="http://schemas.openxmlformats.org/spreadsheetml/2006/main" id="1" name="TGATES" displayName="TGATES" ref="A1:D5" headerRowCount="1">
  <autoFilter ref="A1:D5"/>
  <tableColumns count="4">
    <tableColumn id="1" name="Gate"/>
    <tableColumn id="2" name="Definition"/>
    <tableColumn id="3" name="Formula"/>
    <tableColumn id="4" name="Result"/>
  </tableColumns>
  <tableStyleInfo name="TableStyleMedium9" showRowStripes="1"/>
</table>
</file>

<file path=xl/tables/table2.xml><?xml version="1.0" encoding="utf-8"?>
<table xmlns="http://schemas.openxmlformats.org/spreadsheetml/2006/main" id="2" name="TDRAFTINGPACK" displayName="TDRAFTINGPACK" ref="A1:K4" headerRowCount="1">
  <autoFilter ref="A1:K4"/>
  <tableColumns count="11">
    <tableColumn id="1" name="Issue_ID"/>
    <tableColumn id="2" name="Issue_Title"/>
    <tableColumn id="3" name="Status"/>
    <tableColumn id="4" name="Primary_Anchor_Edge_ID"/>
    <tableColumn id="5" name="Primary_Anchor_Layer"/>
    <tableColumn id="6" name="Primary_Anchor_Quote"/>
    <tableColumn id="7" name="Primary_Anchor_Source"/>
    <tableColumn id="8" name="Top_Contradiction_ID"/>
    <tableColumn id="9" name="Contradiction_Short"/>
    <tableColumn id="10" name="Anchor_Upgrade_Count"/>
    <tableColumn id="11" name="Next_Action"/>
  </tableColumns>
  <tableStyleInfo name="TableStyleMedium9" showRowStripes="1"/>
</table>
</file>

<file path=xl/tables/table3.xml><?xml version="1.0" encoding="utf-8"?>
<table xmlns="http://schemas.openxmlformats.org/spreadsheetml/2006/main" id="3" name="ISSUEMATRIXTbl" displayName="ISSUEMATRIXTbl" ref="A1:M10" headerRowCount="1">
  <autoFilter ref="A1:M10"/>
  <tableColumns count="13">
    <tableColumn id="1" name="Issue_ID"/>
    <tableColumn id="2" name="Issue_Title"/>
    <tableColumn id="3" name="Status"/>
    <tableColumn id="4" name="Support_Rank"/>
    <tableColumn id="5" name="Best_Support_Edge_ID"/>
    <tableColumn id="6" name="From"/>
    <tableColumn id="7" name="Relation_Type"/>
    <tableColumn id="8" name="Layer"/>
    <tableColumn id="9" name="Quote_Compliant"/>
    <tableColumn id="10" name="Evidence_Quote_Verbatim"/>
    <tableColumn id="11" name="Evidence_Summary"/>
    <tableColumn id="12" name="Evidence_RecordItem_IDs"/>
    <tableColumn id="13" name="Notes"/>
  </tableColumns>
  <tableStyleInfo name="TableStyleMedium9" showRowStripes="1"/>
</table>
</file>

<file path=xl/tables/table4.xml><?xml version="1.0" encoding="utf-8"?>
<table xmlns="http://schemas.openxmlformats.org/spreadsheetml/2006/main" id="4" name="CONTRADICTIONBRIEFTbl" displayName="CONTRADICTIONBRIEFTbl" ref="A1:P2" headerRowCount="1">
  <autoFilter ref="A1:P2"/>
  <tableColumns count="16">
    <tableColumn id="1" name="Conflict_ID"/>
    <tableColumn id="2" name="Issue_ID"/>
    <tableColumn id="3" name="Issue_Title"/>
    <tableColumn id="4" name="Conflict_Type"/>
    <tableColumn id="5" name="Impact"/>
    <tableColumn id="6" name="Use_Mode"/>
    <tableColumn id="7" name="Status"/>
    <tableColumn id="8" name="Item_A"/>
    <tableColumn id="9" name="Layer_A"/>
    <tableColumn id="10" name="A_Quote_Verbatim"/>
    <tableColumn id="11" name="A_Source_Location"/>
    <tableColumn id="12" name="Item_B"/>
    <tableColumn id="13" name="Layer_B"/>
    <tableColumn id="14" name="B_Quote_Verbatim"/>
    <tableColumn id="15" name="B_Source_Location"/>
    <tableColumn id="16" name="Resolution_Path"/>
  </tableColumns>
  <tableStyleInfo name="TableStyleMedium9" showRowStripes="1"/>
</table>
</file>

<file path=xl/tables/table5.xml><?xml version="1.0" encoding="utf-8"?>
<table xmlns="http://schemas.openxmlformats.org/spreadsheetml/2006/main" id="5" name="ANCHORUPGRADETbl" displayName="ANCHORUPGRADETbl" ref="A1:J55" headerRowCount="1">
  <autoFilter ref="A1:J55"/>
  <tableColumns count="10">
    <tableColumn id="1" name="Edge_ID"/>
    <tableColumn id="2" name="Layer"/>
    <tableColumn id="3" name="From_Entity_ID"/>
    <tableColumn id="4" name="From_Name"/>
    <tableColumn id="5" name="To_Entity_ID"/>
    <tableColumn id="6" name="To_Name"/>
    <tableColumn id="7" name="Relation_Type"/>
    <tableColumn id="8" name="Evidence_RecordItem_IDs"/>
    <tableColumn id="9" name="Evidence_Summary"/>
    <tableColumn id="10" name="Suggested_Next_Step"/>
  </tableColumns>
  <tableStyleInfo name="TableStyleMedium9" showRowStripes="1"/>
</table>
</file>

<file path=xl/tables/table6.xml><?xml version="1.0" encoding="utf-8"?>
<table xmlns="http://schemas.openxmlformats.org/spreadsheetml/2006/main" id="6" name="TINGESTIONQUEUE" displayName="TINGESTIONQUEUE" ref="A1:H3" headerRowCount="1">
  <autoFilter ref="A1:H3"/>
  <tableColumns count="8">
    <tableColumn id="1" name="RecordItem_ID"/>
    <tableColumn id="2" name="Description"/>
    <tableColumn id="3" name="Evidence_Class"/>
    <tableColumn id="4" name="Requires_Ingestion"/>
    <tableColumn id="5" name="Source_Location"/>
    <tableColumn id="6" name="Tags"/>
    <tableColumn id="7" name="Suggested_Action"/>
    <tableColumn id="8" name="Priority"/>
  </tableColumns>
  <tableStyleInfo name="TableStyleMedium9" showRowStripes="1"/>
</table>
</file>

<file path=xl/tables/table7.xml><?xml version="1.0" encoding="utf-8"?>
<table xmlns="http://schemas.openxmlformats.org/spreadsheetml/2006/main" id="7" name="TEDGEBUILDER" displayName="TEDGEBUILDER" ref="A1:K201" headerRowCount="1">
  <autoFilter ref="A1:K201"/>
  <tableColumns count="11">
    <tableColumn id="1" name="From_Entity_ID"/>
    <tableColumn id="2" name="To_Entity_ID"/>
    <tableColumn id="3" name="Relation_Type"/>
    <tableColumn id="4" name="Layer"/>
    <tableColumn id="5" name="Evidence_RecordItem_ID"/>
    <tableColumn id="6" name="Evidence_Authority_ID"/>
    <tableColumn id="7" name="Evidence_Quote_Verbatim"/>
    <tableColumn id="8" name="Quote_WC"/>
    <tableColumn id="9" name="Quote_Compliant"/>
    <tableColumn id="10" name="Notes"/>
    <tableColumn id="11" name="Action"/>
  </tableColumns>
  <tableStyleInfo name="TableStyleMedium9" showRowStripes="1"/>
</table>
</file>

<file path=xl/tables/table8.xml><?xml version="1.0" encoding="utf-8"?>
<table xmlns="http://schemas.openxmlformats.org/spreadsheetml/2006/main" id="8" name="DOCUMENTSTbl" displayName="DOCUMENTSTbl" ref="A1:F4" headerRowCount="1">
  <autoFilter ref="A1:F4"/>
  <tableColumns count="6">
    <tableColumn id="1" name="Doc_ID"/>
    <tableColumn id="2" name="Filename"/>
    <tableColumn id="3" name="Path"/>
    <tableColumn id="4" name="Type"/>
    <tableColumn id="5" name="Date_Added"/>
    <tableColumn id="6" name="Notes"/>
  </tableColumns>
  <tableStyleInfo name="TableStyleMedium9" showRowStripes="1" showColumnStripes="0"/>
</table>
</file>

<file path=xl/tables/table9.xml><?xml version="1.0" encoding="utf-8"?>
<table xmlns="http://schemas.openxmlformats.org/spreadsheetml/2006/main" id="9" name="AUTHORITIESTbl" displayName="AUTHORITIESTbl" ref="A1:P3" headerRowCount="1">
  <autoFilter ref="A1:L3"/>
  <tableColumns count="12">
    <tableColumn id="1" name="AUTH_ID"/>
    <tableColumn id="2" name="Type"/>
    <tableColumn id="3" name="Citation"/>
    <tableColumn id="4" name="Short_Cite"/>
    <tableColumn id="5" name="Jurisdiction"/>
    <tableColumn id="6" name="Court_Level"/>
    <tableColumn id="7" name="Binding_Weight"/>
    <tableColumn id="8" name="Proposition"/>
    <tableColumn id="9" name="Stance_For_Appellant"/>
    <tableColumn id="10" name="Linked_Issues"/>
    <tableColumn id="11" name="Verified"/>
    <tableColumn id="12" name="Notes"/>
  </tableColumns>
  <tableStyleInfo name="TableStyleMedium9" showRowStripes="1" showColumnStripes="0"/>
</table>
</file>

<file path=xl/tables/table10.xml><?xml version="1.0" encoding="utf-8"?>
<table xmlns="http://schemas.openxmlformats.org/spreadsheetml/2006/main" id="10" name="RECORDITEMSTbl" displayName="RECORDITEMSTbl" ref="A1:T8" headerRowCount="1">
  <autoFilter ref="A1:L8"/>
  <tableColumns count="12">
    <tableColumn id="1" name="RecordItem_ID"/>
    <tableColumn id="2" name="Source_Doc_ID"/>
    <tableColumn id="3" name="Location"/>
    <tableColumn id="4" name="Doc_Type"/>
    <tableColumn id="5" name="Description"/>
    <tableColumn id="6" name="Quote"/>
    <tableColumn id="7" name="Tags"/>
    <tableColumn id="8" name="Party"/>
    <tableColumn id="9" name="Date"/>
    <tableColumn id="10" name="CUARC_Type"/>
    <tableColumn id="11" name="Confidence"/>
    <tableColumn id="12" name="Notes"/>
  </tableColumns>
  <tableStyleInfo name="TableStyleMedium9" showRowStripes="1" showColumnStripes="0"/>
</table>
</file>

<file path=xl/tables/table11.xml><?xml version="1.0" encoding="utf-8"?>
<table xmlns="http://schemas.openxmlformats.org/spreadsheetml/2006/main" id="11" name="ISSUESTbl" displayName="ISSUESTbl" ref="A1:F4" headerRowCount="1">
  <autoFilter ref="A1:F4"/>
  <tableColumns count="6">
    <tableColumn id="1" name="Issue_ID"/>
    <tableColumn id="2" name="Title"/>
    <tableColumn id="3" name="Status"/>
    <tableColumn id="4" name="Key_Risks"/>
    <tableColumn id="5" name="Relief_Target"/>
    <tableColumn id="6" name="Notes"/>
  </tableColumns>
  <tableStyleInfo name="TableStyleMedium9" showRowStripes="1" showColumnStripes="0"/>
</table>
</file>

<file path=xl/tables/table12.xml><?xml version="1.0" encoding="utf-8"?>
<table xmlns="http://schemas.openxmlformats.org/spreadsheetml/2006/main" id="12" name="CLAIMSTbl" displayName="CLAIMSTbl" ref="A1:H5" headerRowCount="1">
  <autoFilter ref="A1:H5"/>
  <tableColumns count="8">
    <tableColumn id="1" name="Claim_ID"/>
    <tableColumn id="2" name="Issue_ID"/>
    <tableColumn id="3" name="Type"/>
    <tableColumn id="4" name="Claim_Text"/>
    <tableColumn id="5" name="RecordItem_IDs"/>
    <tableColumn id="6" name="Authority_IDs"/>
    <tableColumn id="7" name="Status"/>
    <tableColumn id="8" name="Notes"/>
  </tableColumns>
  <tableStyleInfo name="TableStyleMedium9" showRowStripes="1" showColumnStripes="0"/>
</table>
</file>

<file path=xl/tables/table13.xml><?xml version="1.0" encoding="utf-8"?>
<table xmlns="http://schemas.openxmlformats.org/spreadsheetml/2006/main" id="13" name="CONTRADICTIONSTbl" displayName="CONTRADICTIONSTbl" ref="A1:N2" headerRowCount="1">
  <autoFilter ref="A1:G2"/>
  <tableColumns count="7">
    <tableColumn id="1" name="Conflict_ID"/>
    <tableColumn id="2" name="Issue_ID"/>
    <tableColumn id="3" name="Item_A"/>
    <tableColumn id="4" name="Item_B"/>
    <tableColumn id="5" name="Description"/>
    <tableColumn id="6" name="Impact"/>
    <tableColumn id="7" name="Resolution_Path"/>
  </tableColumns>
  <tableStyleInfo name="TableStyleMedium9" showRowStripes="1" showColumnStripes="0"/>
</table>
</file>

<file path=xl/tables/table14.xml><?xml version="1.0" encoding="utf-8"?>
<table xmlns="http://schemas.openxmlformats.org/spreadsheetml/2006/main" id="14" name="TASKSTbl" displayName="TASKSTbl" ref="A1:G4" headerRowCount="1">
  <autoFilter ref="A1:G4"/>
  <tableColumns count="7">
    <tableColumn id="1" name="Task_ID"/>
    <tableColumn id="2" name="Priority"/>
    <tableColumn id="3" name="Task"/>
    <tableColumn id="4" name="Status"/>
    <tableColumn id="5" name="Owner"/>
    <tableColumn id="6" name="Due"/>
    <tableColumn id="7" name="Notes"/>
  </tableColumns>
  <tableStyleInfo name="TableStyleMedium9" showRowStripes="1" showColumnStripes="0"/>
</table>
</file>

<file path=xl/tables/table15.xml><?xml version="1.0" encoding="utf-8"?>
<table xmlns="http://schemas.openxmlformats.org/spreadsheetml/2006/main" id="15" name="ENTITIESTbl" displayName="ENTITIESTbl" ref="A1:I140" headerRowCount="1">
  <autoFilter ref="A1:H1"/>
  <tableColumns count="8">
    <tableColumn id="1" name="Entity_ID"/>
    <tableColumn id="2" name="Name"/>
    <tableColumn id="3" name="Category"/>
    <tableColumn id="4" name="Layer"/>
    <tableColumn id="5" name="Canonical"/>
    <tableColumn id="6" name="Definition_or_Context"/>
    <tableColumn id="7" name="Source_Location"/>
    <tableColumn id="8" name="Notes"/>
  </tableColumns>
  <tableStyleInfo name="TableStyleMedium9" showRowStripes="1"/>
</table>
</file>

<file path=xl/tables/table16.xml><?xml version="1.0" encoding="utf-8"?>
<table xmlns="http://schemas.openxmlformats.org/spreadsheetml/2006/main" id="16" name="EDGESTbl" displayName="EDGESTbl" ref="A1:N134" headerRowCount="1">
  <autoFilter ref="A1:L1"/>
  <tableColumns count="12">
    <tableColumn id="1" name="Edge_ID"/>
    <tableColumn id="2" name="From_Entity_ID"/>
    <tableColumn id="3" name="To_Entity_ID"/>
    <tableColumn id="4" name="Relation_Type"/>
    <tableColumn id="5" name="Layer"/>
    <tableColumn id="6" name="Evidence_RecordItem_IDs"/>
    <tableColumn id="7" name="Evidence_Authority_IDs"/>
    <tableColumn id="8" name="Evidence_Quote_Verbatim"/>
    <tableColumn id="9" name="Quote_WC"/>
    <tableColumn id="10" name="Quote_Verified"/>
    <tableColumn id="11" name="Notes"/>
    <tableColumn id="12" name="Confidence"/>
  </tableColumns>
  <tableStyleInfo name="TableStyleMedium9" showRowStripes="1"/>
</table>
</file>

<file path=xl/tables/table17.xml><?xml version="1.0" encoding="utf-8"?>
<table xmlns="http://schemas.openxmlformats.org/spreadsheetml/2006/main" id="17" name="ALIASESTbl" displayName="ALIASESTbl" ref="A1:F14" headerRowCount="1">
  <autoFilter ref="A1:F14"/>
  <tableColumns count="6">
    <tableColumn id="1" name="Alias_Entity_ID"/>
    <tableColumn id="2" name="Canonical_Entity_ID"/>
    <tableColumn id="3" name="Alias_Name"/>
    <tableColumn id="4" name="Canonical_Name"/>
    <tableColumn id="5" name="Reason"/>
    <tableColumn id="6" name="Notes"/>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3.xml.rels><Relationships xmlns="http://schemas.openxmlformats.org/package/2006/relationships"><Relationship Type="http://schemas.openxmlformats.org/officeDocument/2006/relationships/table" Target="/xl/tables/table10.xml" Id="rId1"/></Relationships>
</file>

<file path=xl/worksheets/_rels/sheet14.xml.rels><Relationships xmlns="http://schemas.openxmlformats.org/package/2006/relationships"><Relationship Type="http://schemas.openxmlformats.org/officeDocument/2006/relationships/table" Target="/xl/tables/table11.xml" Id="rId1"/></Relationships>
</file>

<file path=xl/worksheets/_rels/sheet15.xml.rels><Relationships xmlns="http://schemas.openxmlformats.org/package/2006/relationships"><Relationship Type="http://schemas.openxmlformats.org/officeDocument/2006/relationships/table" Target="/xl/tables/table12.xml" Id="rId1"/></Relationships>
</file>

<file path=xl/worksheets/_rels/sheet16.xml.rels><Relationships xmlns="http://schemas.openxmlformats.org/package/2006/relationships"><Relationship Type="http://schemas.openxmlformats.org/officeDocument/2006/relationships/table" Target="/xl/tables/table13.xml" Id="rId1"/></Relationships>
</file>

<file path=xl/worksheets/_rels/sheet17.xml.rels><Relationships xmlns="http://schemas.openxmlformats.org/package/2006/relationships"><Relationship Type="http://schemas.openxmlformats.org/officeDocument/2006/relationships/table" Target="/xl/tables/table14.xml" Id="rId1"/></Relationships>
</file>

<file path=xl/worksheets/_rels/sheet18.xml.rels><Relationships xmlns="http://schemas.openxmlformats.org/package/2006/relationships"><Relationship Type="http://schemas.openxmlformats.org/officeDocument/2006/relationships/table" Target="/xl/tables/table15.xml" Id="rId1"/></Relationships>
</file>

<file path=xl/worksheets/_rels/sheet19.xml.rels><Relationships xmlns="http://schemas.openxmlformats.org/package/2006/relationships"><Relationship Type="http://schemas.openxmlformats.org/officeDocument/2006/relationships/table" Target="/xl/tables/table16.xml" Id="rId1"/></Relationships>
</file>

<file path=xl/worksheets/_rels/sheet20.xml.rels><Relationships xmlns="http://schemas.openxmlformats.org/package/2006/relationships"><Relationship Type="http://schemas.openxmlformats.org/officeDocument/2006/relationships/table" Target="/xl/tables/table17.xml" Id="rId1"/></Relationships>
</file>

<file path=xl/worksheets/sheet1.xml><?xml version="1.0" encoding="utf-8"?>
<worksheet xmlns="http://schemas.openxmlformats.org/spreadsheetml/2006/main">
  <sheetPr>
    <outlinePr summaryBelow="1" summaryRight="1"/>
    <pageSetUpPr/>
  </sheetPr>
  <dimension ref="A1:E199"/>
  <sheetViews>
    <sheetView workbookViewId="0">
      <selection activeCell="A1" sqref="A1"/>
    </sheetView>
  </sheetViews>
  <sheetFormatPr baseColWidth="8" defaultRowHeight="15"/>
  <cols>
    <col width="34" customWidth="1" min="1" max="1"/>
    <col width="20" customWidth="1" min="2" max="2"/>
    <col width="28" customWidth="1" min="3" max="3"/>
    <col width="24" customWidth="1" min="4" max="4"/>
    <col width="22" customWidth="1" min="5" max="5"/>
  </cols>
  <sheetData>
    <row r="1">
      <c r="A1" s="1" t="inlineStr">
        <is>
          <t>Cohen CUARC Graph Dashboard</t>
        </is>
      </c>
    </row>
    <row r="3">
      <c r="A3" s="2" t="inlineStr">
        <is>
          <t>Key Metrics</t>
        </is>
      </c>
    </row>
    <row r="4">
      <c r="A4" s="5" t="inlineStr">
        <is>
          <t>Total Edges</t>
        </is>
      </c>
      <c r="B4" s="6">
        <f>COUNTA(EDGES!A:A)-1</f>
        <v/>
      </c>
      <c r="C4" s="6" t="n"/>
      <c r="D4" s="6" t="n"/>
      <c r="E4" s="6" t="n"/>
    </row>
    <row r="5">
      <c r="A5" s="5" t="inlineStr">
        <is>
          <t>Quote-Compliant Edges (YES)</t>
        </is>
      </c>
      <c r="B5" s="6">
        <f>COUNTIF(EDGES!N:N,"YES")</f>
        <v/>
      </c>
      <c r="C5" s="6" t="n"/>
      <c r="D5" s="6" t="n"/>
      <c r="E5" s="6" t="n"/>
    </row>
    <row r="6">
      <c r="A6" s="5" t="inlineStr">
        <is>
          <t>Quote-Compliant %</t>
        </is>
      </c>
      <c r="B6" s="7">
        <f>IF(B4=0,0,B5/B4)</f>
        <v/>
      </c>
      <c r="C6" s="6" t="n"/>
      <c r="D6" s="6" t="n"/>
      <c r="E6" s="6" t="n"/>
    </row>
    <row r="7">
      <c r="A7" s="5" t="n"/>
      <c r="B7" s="6" t="n"/>
      <c r="C7" s="6" t="n"/>
      <c r="D7" s="6" t="n"/>
      <c r="E7" s="6" t="n"/>
    </row>
    <row r="8">
      <c r="A8" s="5" t="inlineStr">
        <is>
          <t>Anchor Upgrades Needed</t>
        </is>
      </c>
      <c r="B8" s="6">
        <f>COUNTA(ANCHOR_UPGRADE!A:A)-1</f>
        <v/>
      </c>
      <c r="C8" s="6" t="n"/>
      <c r="D8" s="6" t="n"/>
      <c r="E8" s="6" t="n"/>
    </row>
    <row r="9">
      <c r="A9" s="5" t="inlineStr">
        <is>
          <t>Record Items requiring ingestion</t>
        </is>
      </c>
      <c r="B9" s="6">
        <f>COUNTIF(RECORD_ITEMS!S:S,"YES")</f>
        <v/>
      </c>
      <c r="C9" s="6" t="n"/>
      <c r="D9" s="6" t="n"/>
      <c r="E9" s="6" t="n"/>
    </row>
    <row r="10">
      <c r="A10" s="5" t="inlineStr">
        <is>
          <t>Open Contradictions</t>
        </is>
      </c>
      <c r="B10" s="6">
        <f>COUNTIF(CONTRADICTIONS!N:N,"OPEN")</f>
        <v/>
      </c>
      <c r="C10" s="6" t="n"/>
      <c r="D10" s="6" t="n"/>
      <c r="E10" s="6" t="n"/>
    </row>
    <row r="11">
      <c r="A11" s="3" t="n"/>
      <c r="B11" s="6" t="n"/>
      <c r="C11" s="6" t="n"/>
      <c r="D11" s="6" t="n"/>
      <c r="E11" s="6" t="n"/>
    </row>
    <row r="12">
      <c r="A12" s="3" t="inlineStr">
        <is>
          <t>Issue Readiness</t>
        </is>
      </c>
      <c r="B12" s="6" t="n"/>
      <c r="C12" s="6" t="n"/>
      <c r="D12" s="6" t="n"/>
      <c r="E12" s="6" t="n"/>
    </row>
    <row r="13">
      <c r="A13" s="8" t="inlineStr">
        <is>
          <t>Issue</t>
        </is>
      </c>
      <c r="B13" s="9" t="inlineStr">
        <is>
          <t>Status</t>
        </is>
      </c>
      <c r="C13" s="9" t="inlineStr">
        <is>
          <t>Support edges (Quote YES)</t>
        </is>
      </c>
      <c r="D13" s="9" t="inlineStr">
        <is>
          <t>Anchor upgrades linked</t>
        </is>
      </c>
      <c r="E13" s="9" t="inlineStr">
        <is>
          <t>Open contradictions</t>
        </is>
      </c>
    </row>
    <row r="14">
      <c r="A14" s="3" t="inlineStr">
        <is>
          <t>I-DAMAGES</t>
        </is>
      </c>
      <c r="B14" s="6" t="inlineStr">
        <is>
          <t>draft-safe</t>
        </is>
      </c>
      <c r="C14" s="6">
        <f>COUNTIFS(EDGES!C:C,"I-DAMAGES",EDGES!N:N,"YES")</f>
        <v/>
      </c>
      <c r="D14" s="6">
        <f>COUNTIF(ANCHOR_UPGRADE!E:E,"I-DAMAGES")</f>
        <v/>
      </c>
      <c r="E14" s="6">
        <f>COUNTIFS(CONTRADICTIONS!B:B,"I-DAMAGES",CONTRADICTIONS!N:N,"OPEN")</f>
        <v/>
      </c>
    </row>
    <row r="15">
      <c r="A15" s="3" t="inlineStr">
        <is>
          <t>I-SPOLIATION</t>
        </is>
      </c>
      <c r="B15" s="6" t="inlineStr">
        <is>
          <t>draft-safe</t>
        </is>
      </c>
      <c r="C15" s="6">
        <f>COUNTIFS(EDGES!C:C,"I-SPOLIATION",EDGES!N:N,"YES")</f>
        <v/>
      </c>
      <c r="D15" s="6">
        <f>COUNTIF(ANCHOR_UPGRADE!E:E,"I-SPOLIATION")</f>
        <v/>
      </c>
      <c r="E15" s="6">
        <f>COUNTIFS(CONTRADICTIONS!B:B,"I-SPOLIATION",CONTRADICTIONS!N:N,"OPEN")</f>
        <v/>
      </c>
    </row>
    <row r="16">
      <c r="A16" s="3" t="inlineStr">
        <is>
          <t>I-SECDEP</t>
        </is>
      </c>
      <c r="B16" s="6" t="inlineStr">
        <is>
          <t>needs_record</t>
        </is>
      </c>
      <c r="C16" s="6">
        <f>COUNTIFS(EDGES!C:C,"I-SECDEP",EDGES!N:N,"YES")</f>
        <v/>
      </c>
      <c r="D16" s="6">
        <f>COUNTIF(ANCHOR_UPGRADE!E:E,"I-SECDEP")</f>
        <v/>
      </c>
      <c r="E16" s="6">
        <f>COUNTIFS(CONTRADICTIONS!B:B,"I-SECDEP",CONTRADICTIONS!N:N,"OPEN")</f>
        <v/>
      </c>
    </row>
    <row r="17">
      <c r="A17" s="3" t="n"/>
      <c r="B17" s="6" t="n"/>
      <c r="C17" s="6" t="n"/>
      <c r="D17" s="6" t="n"/>
      <c r="E17" s="6" t="n"/>
    </row>
    <row r="18">
      <c r="A18" s="3" t="n"/>
      <c r="B18" s="6" t="n"/>
      <c r="C18" s="6" t="n"/>
      <c r="D18" s="6" t="n"/>
      <c r="E18" s="6" t="n"/>
    </row>
    <row r="19">
      <c r="A19" s="3" t="n"/>
      <c r="B19" s="6" t="n"/>
      <c r="C19" s="6" t="n"/>
      <c r="D19" s="6" t="n"/>
      <c r="E19" s="6" t="n"/>
    </row>
    <row r="20">
      <c r="A20" s="3" t="n"/>
      <c r="B20" s="6" t="n"/>
      <c r="C20" s="6" t="n"/>
      <c r="D20" s="6" t="n"/>
      <c r="E20" s="6" t="n"/>
    </row>
    <row r="21">
      <c r="A21" s="3" t="n"/>
      <c r="B21" s="6" t="n"/>
      <c r="C21" s="6" t="n"/>
      <c r="D21" s="6" t="n"/>
      <c r="E21" s="6" t="n"/>
    </row>
    <row r="22">
      <c r="A22" s="3" t="n"/>
      <c r="B22" s="6" t="n"/>
      <c r="C22" s="6" t="n"/>
      <c r="D22" s="6" t="n"/>
      <c r="E22" s="6" t="n"/>
    </row>
    <row r="23">
      <c r="A23" s="3" t="n"/>
      <c r="B23" s="6" t="n"/>
      <c r="C23" s="6" t="n"/>
      <c r="D23" s="6" t="n"/>
      <c r="E23" s="6" t="n"/>
    </row>
    <row r="24">
      <c r="A24" s="3" t="n"/>
      <c r="B24" s="6" t="n"/>
      <c r="C24" s="6" t="n"/>
      <c r="D24" s="6" t="n"/>
      <c r="E24" s="6" t="n"/>
    </row>
    <row r="25">
      <c r="A25" s="3" t="n"/>
      <c r="B25" s="6" t="n"/>
      <c r="C25" s="6" t="n"/>
      <c r="D25" s="6" t="n"/>
      <c r="E25" s="6" t="n"/>
    </row>
    <row r="26">
      <c r="A26" s="3" t="n"/>
      <c r="B26" s="6" t="n"/>
      <c r="C26" s="6" t="n"/>
      <c r="D26" s="6" t="n"/>
      <c r="E26" s="6" t="n"/>
    </row>
    <row r="27">
      <c r="A27" s="3" t="n"/>
      <c r="B27" s="6" t="n"/>
      <c r="C27" s="6" t="n"/>
      <c r="D27" s="6" t="n"/>
      <c r="E27" s="6" t="n"/>
    </row>
    <row r="28">
      <c r="A28" s="3" t="n"/>
      <c r="B28" s="6" t="n"/>
      <c r="C28" s="6" t="n"/>
      <c r="D28" s="6" t="n"/>
      <c r="E28" s="6" t="n"/>
    </row>
    <row r="29">
      <c r="A29" s="3" t="n"/>
      <c r="B29" s="6" t="n"/>
      <c r="C29" s="6" t="n"/>
      <c r="D29" s="6" t="n"/>
      <c r="E29" s="6" t="n"/>
    </row>
    <row r="30">
      <c r="A30" s="3" t="n"/>
      <c r="B30" s="6" t="n"/>
      <c r="C30" s="6" t="n"/>
      <c r="D30" s="6" t="n"/>
      <c r="E30" s="6" t="n"/>
    </row>
    <row r="31">
      <c r="A31" s="3" t="n"/>
      <c r="B31" s="6" t="n"/>
      <c r="C31" s="6" t="n"/>
      <c r="D31" s="6" t="n"/>
      <c r="E31" s="6" t="n"/>
    </row>
    <row r="32">
      <c r="A32" s="3" t="n"/>
      <c r="B32" s="6" t="n"/>
      <c r="C32" s="6" t="n"/>
      <c r="D32" s="6" t="n"/>
      <c r="E32" s="6" t="n"/>
    </row>
    <row r="33">
      <c r="A33" s="3" t="n"/>
      <c r="B33" s="6" t="n"/>
      <c r="C33" s="6" t="n"/>
      <c r="D33" s="6" t="n"/>
      <c r="E33" s="6" t="n"/>
    </row>
    <row r="34">
      <c r="A34" s="3" t="n"/>
      <c r="B34" s="6" t="n"/>
      <c r="C34" s="6" t="n"/>
      <c r="D34" s="6" t="n"/>
      <c r="E34" s="6" t="n"/>
    </row>
    <row r="35">
      <c r="A35" s="3" t="n"/>
      <c r="B35" s="6" t="n"/>
      <c r="C35" s="6" t="n"/>
      <c r="D35" s="6" t="n"/>
      <c r="E35" s="6" t="n"/>
    </row>
    <row r="36">
      <c r="A36" s="3" t="n"/>
      <c r="B36" s="6" t="n"/>
      <c r="C36" s="6" t="n"/>
      <c r="D36" s="6" t="n"/>
      <c r="E36" s="6" t="n"/>
    </row>
    <row r="37">
      <c r="A37" s="3" t="n"/>
      <c r="B37" s="6" t="n"/>
      <c r="C37" s="6" t="n"/>
      <c r="D37" s="6" t="n"/>
      <c r="E37" s="6" t="n"/>
    </row>
    <row r="38">
      <c r="A38" s="3" t="n"/>
      <c r="B38" s="6" t="n"/>
      <c r="C38" s="6" t="n"/>
      <c r="D38" s="6" t="n"/>
      <c r="E38" s="6" t="n"/>
    </row>
    <row r="39">
      <c r="A39" s="3" t="n"/>
      <c r="B39" s="6" t="n"/>
      <c r="C39" s="6" t="n"/>
      <c r="D39" s="6" t="n"/>
      <c r="E39" s="6" t="n"/>
    </row>
    <row r="40">
      <c r="A40" s="3" t="n"/>
      <c r="B40" s="6" t="n"/>
      <c r="C40" s="6" t="n"/>
      <c r="D40" s="6" t="n"/>
      <c r="E40" s="6" t="n"/>
    </row>
    <row r="41">
      <c r="A41" s="3" t="n"/>
      <c r="B41" s="6" t="n"/>
      <c r="C41" s="6" t="n"/>
      <c r="D41" s="6" t="n"/>
      <c r="E41" s="6" t="n"/>
    </row>
    <row r="42">
      <c r="A42" s="3" t="n"/>
      <c r="B42" s="6" t="n"/>
      <c r="C42" s="6" t="n"/>
      <c r="D42" s="6" t="n"/>
      <c r="E42" s="6" t="n"/>
    </row>
    <row r="43">
      <c r="A43" s="3" t="n"/>
      <c r="B43" s="6" t="n"/>
      <c r="C43" s="6" t="n"/>
      <c r="D43" s="6" t="n"/>
      <c r="E43" s="6" t="n"/>
    </row>
    <row r="44">
      <c r="A44" s="3" t="n"/>
      <c r="B44" s="6" t="n"/>
      <c r="C44" s="6" t="n"/>
      <c r="D44" s="6" t="n"/>
      <c r="E44" s="6" t="n"/>
    </row>
    <row r="45">
      <c r="A45" s="3" t="n"/>
      <c r="B45" s="6" t="n"/>
      <c r="C45" s="6" t="n"/>
      <c r="D45" s="6" t="n"/>
      <c r="E45" s="6" t="n"/>
    </row>
    <row r="46">
      <c r="A46" s="3" t="n"/>
      <c r="B46" s="6" t="n"/>
      <c r="C46" s="6" t="n"/>
      <c r="D46" s="6" t="n"/>
      <c r="E46" s="6" t="n"/>
    </row>
    <row r="47">
      <c r="A47" s="3" t="n"/>
      <c r="B47" s="6" t="n"/>
      <c r="C47" s="6" t="n"/>
      <c r="D47" s="6" t="n"/>
      <c r="E47" s="6" t="n"/>
    </row>
    <row r="48">
      <c r="A48" s="3" t="n"/>
      <c r="B48" s="6" t="n"/>
      <c r="C48" s="6" t="n"/>
      <c r="D48" s="6" t="n"/>
      <c r="E48" s="6" t="n"/>
    </row>
    <row r="49">
      <c r="A49" s="3" t="n"/>
      <c r="B49" s="6" t="n"/>
      <c r="C49" s="6" t="n"/>
      <c r="D49" s="6" t="n"/>
      <c r="E49" s="6" t="n"/>
    </row>
    <row r="50">
      <c r="A50" s="3" t="n"/>
      <c r="B50" s="6" t="n"/>
      <c r="C50" s="6" t="n"/>
      <c r="D50" s="6" t="n"/>
      <c r="E50" s="6" t="n"/>
    </row>
    <row r="51">
      <c r="A51" s="3" t="n"/>
      <c r="B51" s="6" t="n"/>
      <c r="C51" s="6" t="n"/>
      <c r="D51" s="6" t="n"/>
      <c r="E51" s="6" t="n"/>
    </row>
    <row r="52">
      <c r="A52" s="3" t="n"/>
      <c r="B52" s="6" t="n"/>
      <c r="C52" s="6" t="n"/>
      <c r="D52" s="6" t="n"/>
      <c r="E52" s="6" t="n"/>
    </row>
    <row r="53">
      <c r="A53" s="3" t="n"/>
      <c r="B53" s="6" t="n"/>
      <c r="C53" s="6" t="n"/>
      <c r="D53" s="6" t="n"/>
      <c r="E53" s="6" t="n"/>
    </row>
    <row r="54">
      <c r="A54" s="3" t="n"/>
      <c r="B54" s="6" t="n"/>
      <c r="C54" s="6" t="n"/>
      <c r="D54" s="6" t="n"/>
      <c r="E54" s="6" t="n"/>
    </row>
    <row r="55">
      <c r="A55" s="3" t="n"/>
      <c r="B55" s="6" t="n"/>
      <c r="C55" s="6" t="n"/>
      <c r="D55" s="6" t="n"/>
      <c r="E55" s="6" t="n"/>
    </row>
    <row r="56">
      <c r="A56" s="3" t="n"/>
      <c r="B56" s="6" t="n"/>
      <c r="C56" s="6" t="n"/>
      <c r="D56" s="6" t="n"/>
      <c r="E56" s="6" t="n"/>
    </row>
    <row r="57">
      <c r="A57" s="3" t="n"/>
      <c r="B57" s="6" t="n"/>
      <c r="C57" s="6" t="n"/>
      <c r="D57" s="6" t="n"/>
      <c r="E57" s="6" t="n"/>
    </row>
    <row r="58">
      <c r="A58" s="3" t="n"/>
      <c r="B58" s="6" t="n"/>
      <c r="C58" s="6" t="n"/>
      <c r="D58" s="6" t="n"/>
      <c r="E58" s="6" t="n"/>
    </row>
    <row r="59">
      <c r="A59" s="3" t="n"/>
      <c r="B59" s="6" t="n"/>
      <c r="C59" s="6" t="n"/>
      <c r="D59" s="6" t="n"/>
      <c r="E59" s="6" t="n"/>
    </row>
    <row r="60">
      <c r="A60" s="3" t="n"/>
      <c r="B60" s="6" t="n"/>
      <c r="C60" s="6" t="n"/>
      <c r="D60" s="6" t="n"/>
      <c r="E60" s="6" t="n"/>
    </row>
    <row r="61">
      <c r="A61" s="3" t="n"/>
      <c r="B61" s="6" t="n"/>
      <c r="C61" s="6" t="n"/>
      <c r="D61" s="6" t="n"/>
      <c r="E61" s="6" t="n"/>
    </row>
    <row r="62">
      <c r="A62" s="3" t="n"/>
      <c r="B62" s="6" t="n"/>
      <c r="C62" s="6" t="n"/>
      <c r="D62" s="6" t="n"/>
      <c r="E62" s="6" t="n"/>
    </row>
    <row r="63">
      <c r="A63" s="3" t="n"/>
      <c r="B63" s="6" t="n"/>
      <c r="C63" s="6" t="n"/>
      <c r="D63" s="6" t="n"/>
      <c r="E63" s="6" t="n"/>
    </row>
    <row r="64">
      <c r="A64" s="3" t="n"/>
      <c r="B64" s="6" t="n"/>
      <c r="C64" s="6" t="n"/>
      <c r="D64" s="6" t="n"/>
      <c r="E64" s="6" t="n"/>
    </row>
    <row r="65">
      <c r="A65" s="3" t="n"/>
      <c r="B65" s="6" t="n"/>
      <c r="C65" s="6" t="n"/>
      <c r="D65" s="6" t="n"/>
      <c r="E65" s="6" t="n"/>
    </row>
    <row r="66">
      <c r="A66" s="3" t="n"/>
      <c r="B66" s="6" t="n"/>
      <c r="C66" s="6" t="n"/>
      <c r="D66" s="6" t="n"/>
      <c r="E66" s="6" t="n"/>
    </row>
    <row r="67">
      <c r="A67" s="3" t="n"/>
      <c r="B67" s="6" t="n"/>
      <c r="C67" s="6" t="n"/>
      <c r="D67" s="6" t="n"/>
      <c r="E67" s="6" t="n"/>
    </row>
    <row r="68">
      <c r="A68" s="3" t="n"/>
      <c r="B68" s="6" t="n"/>
      <c r="C68" s="6" t="n"/>
      <c r="D68" s="6" t="n"/>
      <c r="E68" s="6" t="n"/>
    </row>
    <row r="69">
      <c r="A69" s="3" t="n"/>
      <c r="B69" s="6" t="n"/>
      <c r="C69" s="6" t="n"/>
      <c r="D69" s="6" t="n"/>
      <c r="E69" s="6" t="n"/>
    </row>
    <row r="70">
      <c r="A70" s="3" t="n"/>
      <c r="B70" s="6" t="n"/>
      <c r="C70" s="6" t="n"/>
      <c r="D70" s="6" t="n"/>
      <c r="E70" s="6" t="n"/>
    </row>
    <row r="71">
      <c r="A71" s="3" t="n"/>
      <c r="B71" s="6" t="n"/>
      <c r="C71" s="6" t="n"/>
      <c r="D71" s="6" t="n"/>
      <c r="E71" s="6" t="n"/>
    </row>
    <row r="72">
      <c r="A72" s="3" t="n"/>
      <c r="B72" s="6" t="n"/>
      <c r="C72" s="6" t="n"/>
      <c r="D72" s="6" t="n"/>
      <c r="E72" s="6" t="n"/>
    </row>
    <row r="73">
      <c r="A73" s="3" t="n"/>
      <c r="B73" s="6" t="n"/>
      <c r="C73" s="6" t="n"/>
      <c r="D73" s="6" t="n"/>
      <c r="E73" s="6" t="n"/>
    </row>
    <row r="74">
      <c r="A74" s="3" t="n"/>
      <c r="B74" s="6" t="n"/>
      <c r="C74" s="6" t="n"/>
      <c r="D74" s="6" t="n"/>
      <c r="E74" s="6" t="n"/>
    </row>
    <row r="75">
      <c r="A75" s="3" t="n"/>
      <c r="B75" s="6" t="n"/>
      <c r="C75" s="6" t="n"/>
      <c r="D75" s="6" t="n"/>
      <c r="E75" s="6" t="n"/>
    </row>
    <row r="76">
      <c r="A76" s="3" t="n"/>
      <c r="B76" s="6" t="n"/>
      <c r="C76" s="6" t="n"/>
      <c r="D76" s="6" t="n"/>
      <c r="E76" s="6" t="n"/>
    </row>
    <row r="77">
      <c r="A77" s="3" t="n"/>
      <c r="B77" s="6" t="n"/>
      <c r="C77" s="6" t="n"/>
      <c r="D77" s="6" t="n"/>
      <c r="E77" s="6" t="n"/>
    </row>
    <row r="78">
      <c r="A78" s="3" t="n"/>
      <c r="B78" s="6" t="n"/>
      <c r="C78" s="6" t="n"/>
      <c r="D78" s="6" t="n"/>
      <c r="E78" s="6" t="n"/>
    </row>
    <row r="79">
      <c r="A79" s="3" t="n"/>
      <c r="B79" s="6" t="n"/>
      <c r="C79" s="6" t="n"/>
      <c r="D79" s="6" t="n"/>
      <c r="E79" s="6" t="n"/>
    </row>
    <row r="80">
      <c r="A80" s="3" t="n"/>
      <c r="B80" s="6" t="n"/>
      <c r="C80" s="6" t="n"/>
      <c r="D80" s="6" t="n"/>
      <c r="E80" s="6" t="n"/>
    </row>
    <row r="81">
      <c r="A81" s="3" t="n"/>
      <c r="B81" s="6" t="n"/>
      <c r="C81" s="6" t="n"/>
      <c r="D81" s="6" t="n"/>
      <c r="E81" s="6" t="n"/>
    </row>
    <row r="82">
      <c r="A82" s="3" t="n"/>
      <c r="B82" s="6" t="n"/>
      <c r="C82" s="6" t="n"/>
      <c r="D82" s="6" t="n"/>
      <c r="E82" s="6" t="n"/>
    </row>
    <row r="83">
      <c r="A83" s="3" t="n"/>
      <c r="B83" s="6" t="n"/>
      <c r="C83" s="6" t="n"/>
      <c r="D83" s="6" t="n"/>
      <c r="E83" s="6" t="n"/>
    </row>
    <row r="84">
      <c r="A84" s="3" t="n"/>
      <c r="B84" s="6" t="n"/>
      <c r="C84" s="6" t="n"/>
      <c r="D84" s="6" t="n"/>
      <c r="E84" s="6" t="n"/>
    </row>
    <row r="85">
      <c r="A85" s="3" t="n"/>
      <c r="B85" s="6" t="n"/>
      <c r="C85" s="6" t="n"/>
      <c r="D85" s="6" t="n"/>
      <c r="E85" s="6" t="n"/>
    </row>
    <row r="86">
      <c r="A86" s="3" t="n"/>
      <c r="B86" s="6" t="n"/>
      <c r="C86" s="6" t="n"/>
      <c r="D86" s="6" t="n"/>
      <c r="E86" s="6" t="n"/>
    </row>
    <row r="87">
      <c r="A87" s="3" t="n"/>
      <c r="B87" s="6" t="n"/>
      <c r="C87" s="6" t="n"/>
      <c r="D87" s="6" t="n"/>
      <c r="E87" s="6" t="n"/>
    </row>
    <row r="88">
      <c r="A88" s="3" t="n"/>
      <c r="B88" s="6" t="n"/>
      <c r="C88" s="6" t="n"/>
      <c r="D88" s="6" t="n"/>
      <c r="E88" s="6" t="n"/>
    </row>
    <row r="89">
      <c r="A89" s="3" t="n"/>
      <c r="B89" s="6" t="n"/>
      <c r="C89" s="6" t="n"/>
      <c r="D89" s="6" t="n"/>
      <c r="E89" s="6" t="n"/>
    </row>
    <row r="90">
      <c r="A90" s="3" t="n"/>
      <c r="B90" s="6" t="n"/>
      <c r="C90" s="6" t="n"/>
      <c r="D90" s="6" t="n"/>
      <c r="E90" s="6" t="n"/>
    </row>
    <row r="91">
      <c r="A91" s="3" t="n"/>
      <c r="B91" s="6" t="n"/>
      <c r="C91" s="6" t="n"/>
      <c r="D91" s="6" t="n"/>
      <c r="E91" s="6" t="n"/>
    </row>
    <row r="92">
      <c r="A92" s="3" t="n"/>
      <c r="B92" s="6" t="n"/>
      <c r="C92" s="6" t="n"/>
      <c r="D92" s="6" t="n"/>
      <c r="E92" s="6" t="n"/>
    </row>
    <row r="93">
      <c r="A93" s="3" t="n"/>
      <c r="B93" s="6" t="n"/>
      <c r="C93" s="6" t="n"/>
      <c r="D93" s="6" t="n"/>
      <c r="E93" s="6" t="n"/>
    </row>
    <row r="94">
      <c r="A94" s="3" t="n"/>
      <c r="B94" s="6" t="n"/>
      <c r="C94" s="6" t="n"/>
      <c r="D94" s="6" t="n"/>
      <c r="E94" s="6" t="n"/>
    </row>
    <row r="95">
      <c r="A95" s="3" t="n"/>
      <c r="B95" s="6" t="n"/>
      <c r="C95" s="6" t="n"/>
      <c r="D95" s="6" t="n"/>
      <c r="E95" s="6" t="n"/>
    </row>
    <row r="96">
      <c r="A96" s="3" t="n"/>
      <c r="B96" s="6" t="n"/>
      <c r="C96" s="6" t="n"/>
      <c r="D96" s="6" t="n"/>
      <c r="E96" s="6" t="n"/>
    </row>
    <row r="97">
      <c r="A97" s="3" t="n"/>
      <c r="B97" s="6" t="n"/>
      <c r="C97" s="6" t="n"/>
      <c r="D97" s="6" t="n"/>
      <c r="E97" s="6" t="n"/>
    </row>
    <row r="98">
      <c r="A98" s="3" t="n"/>
      <c r="B98" s="6" t="n"/>
      <c r="C98" s="6" t="n"/>
      <c r="D98" s="6" t="n"/>
      <c r="E98" s="6" t="n"/>
    </row>
    <row r="99">
      <c r="A99" s="3" t="n"/>
      <c r="B99" s="6" t="n"/>
      <c r="C99" s="6" t="n"/>
      <c r="D99" s="6" t="n"/>
      <c r="E99" s="6" t="n"/>
    </row>
    <row r="100">
      <c r="A100" s="3" t="n"/>
      <c r="B100" s="6" t="n"/>
      <c r="C100" s="6" t="n"/>
      <c r="D100" s="6" t="n"/>
      <c r="E100" s="6" t="n"/>
    </row>
    <row r="101">
      <c r="A101" s="3" t="n"/>
      <c r="B101" s="6" t="n"/>
      <c r="C101" s="6" t="n"/>
      <c r="D101" s="6" t="n"/>
      <c r="E101" s="6" t="n"/>
    </row>
    <row r="102">
      <c r="A102" s="3" t="n"/>
      <c r="B102" s="6" t="n"/>
      <c r="C102" s="6" t="n"/>
      <c r="D102" s="6" t="n"/>
      <c r="E102" s="6" t="n"/>
    </row>
    <row r="103">
      <c r="A103" s="3" t="n"/>
      <c r="B103" s="6" t="n"/>
      <c r="C103" s="6" t="n"/>
      <c r="D103" s="6" t="n"/>
      <c r="E103" s="6" t="n"/>
    </row>
    <row r="104">
      <c r="A104" s="3" t="n"/>
      <c r="B104" s="6" t="n"/>
      <c r="C104" s="6" t="n"/>
      <c r="D104" s="6" t="n"/>
      <c r="E104" s="6" t="n"/>
    </row>
    <row r="105">
      <c r="A105" s="3" t="n"/>
      <c r="B105" s="6" t="n"/>
      <c r="C105" s="6" t="n"/>
      <c r="D105" s="6" t="n"/>
      <c r="E105" s="6" t="n"/>
    </row>
    <row r="106">
      <c r="A106" s="3" t="n"/>
      <c r="B106" s="6" t="n"/>
      <c r="C106" s="6" t="n"/>
      <c r="D106" s="6" t="n"/>
      <c r="E106" s="6" t="n"/>
    </row>
    <row r="107">
      <c r="A107" s="3" t="n"/>
      <c r="B107" s="6" t="n"/>
      <c r="C107" s="6" t="n"/>
      <c r="D107" s="6" t="n"/>
      <c r="E107" s="6" t="n"/>
    </row>
    <row r="108">
      <c r="A108" s="3" t="n"/>
      <c r="B108" s="6" t="n"/>
      <c r="C108" s="6" t="n"/>
      <c r="D108" s="6" t="n"/>
      <c r="E108" s="6" t="n"/>
    </row>
    <row r="109">
      <c r="A109" s="3" t="n"/>
      <c r="B109" s="6" t="n"/>
      <c r="C109" s="6" t="n"/>
      <c r="D109" s="6" t="n"/>
      <c r="E109" s="6" t="n"/>
    </row>
    <row r="110">
      <c r="A110" s="3" t="n"/>
      <c r="B110" s="6" t="n"/>
      <c r="C110" s="6" t="n"/>
      <c r="D110" s="6" t="n"/>
      <c r="E110" s="6" t="n"/>
    </row>
    <row r="111">
      <c r="A111" s="3" t="n"/>
      <c r="B111" s="6" t="n"/>
      <c r="C111" s="6" t="n"/>
      <c r="D111" s="6" t="n"/>
      <c r="E111" s="6" t="n"/>
    </row>
    <row r="112">
      <c r="A112" s="3" t="n"/>
      <c r="B112" s="6" t="n"/>
      <c r="C112" s="6" t="n"/>
      <c r="D112" s="6" t="n"/>
      <c r="E112" s="6" t="n"/>
    </row>
    <row r="113">
      <c r="A113" s="3" t="n"/>
      <c r="B113" s="6" t="n"/>
      <c r="C113" s="6" t="n"/>
      <c r="D113" s="6" t="n"/>
      <c r="E113" s="6" t="n"/>
    </row>
    <row r="114">
      <c r="A114" s="3" t="n"/>
      <c r="B114" s="6" t="n"/>
      <c r="C114" s="6" t="n"/>
      <c r="D114" s="6" t="n"/>
      <c r="E114" s="6" t="n"/>
    </row>
    <row r="115">
      <c r="A115" s="3" t="n"/>
      <c r="B115" s="6" t="n"/>
      <c r="C115" s="6" t="n"/>
      <c r="D115" s="6" t="n"/>
      <c r="E115" s="6" t="n"/>
    </row>
    <row r="116">
      <c r="A116" s="3" t="n"/>
      <c r="B116" s="6" t="n"/>
      <c r="C116" s="6" t="n"/>
      <c r="D116" s="6" t="n"/>
      <c r="E116" s="6" t="n"/>
    </row>
    <row r="117">
      <c r="A117" s="3" t="n"/>
      <c r="B117" s="6" t="n"/>
      <c r="C117" s="6" t="n"/>
      <c r="D117" s="6" t="n"/>
      <c r="E117" s="6" t="n"/>
    </row>
    <row r="118">
      <c r="A118" s="3" t="n"/>
      <c r="B118" s="6" t="n"/>
      <c r="C118" s="6" t="n"/>
      <c r="D118" s="6" t="n"/>
      <c r="E118" s="6" t="n"/>
    </row>
    <row r="119">
      <c r="A119" s="3" t="n"/>
      <c r="B119" s="6" t="n"/>
      <c r="C119" s="6" t="n"/>
      <c r="D119" s="6" t="n"/>
      <c r="E119" s="6" t="n"/>
    </row>
    <row r="120">
      <c r="A120" s="3" t="n"/>
      <c r="B120" s="6" t="n"/>
      <c r="C120" s="6" t="n"/>
      <c r="D120" s="6" t="n"/>
      <c r="E120" s="6" t="n"/>
    </row>
    <row r="121">
      <c r="A121" s="3" t="n"/>
      <c r="B121" s="6" t="n"/>
      <c r="C121" s="6" t="n"/>
      <c r="D121" s="6" t="n"/>
      <c r="E121" s="6" t="n"/>
    </row>
    <row r="122">
      <c r="A122" s="3" t="n"/>
      <c r="B122" s="6" t="n"/>
      <c r="C122" s="6" t="n"/>
      <c r="D122" s="6" t="n"/>
      <c r="E122" s="6" t="n"/>
    </row>
    <row r="123">
      <c r="A123" s="3" t="n"/>
      <c r="B123" s="6" t="n"/>
      <c r="C123" s="6" t="n"/>
      <c r="D123" s="6" t="n"/>
      <c r="E123" s="6" t="n"/>
    </row>
    <row r="124">
      <c r="A124" s="3" t="n"/>
      <c r="B124" s="6" t="n"/>
      <c r="C124" s="6" t="n"/>
      <c r="D124" s="6" t="n"/>
      <c r="E124" s="6" t="n"/>
    </row>
    <row r="125">
      <c r="A125" s="3" t="n"/>
      <c r="B125" s="6" t="n"/>
      <c r="C125" s="6" t="n"/>
      <c r="D125" s="6" t="n"/>
      <c r="E125" s="6" t="n"/>
    </row>
    <row r="126">
      <c r="A126" s="3" t="n"/>
      <c r="B126" s="6" t="n"/>
      <c r="C126" s="6" t="n"/>
      <c r="D126" s="6" t="n"/>
      <c r="E126" s="6" t="n"/>
    </row>
    <row r="127">
      <c r="A127" s="3" t="n"/>
      <c r="B127" s="6" t="n"/>
      <c r="C127" s="6" t="n"/>
      <c r="D127" s="6" t="n"/>
      <c r="E127" s="6" t="n"/>
    </row>
    <row r="128">
      <c r="A128" s="3" t="n"/>
      <c r="B128" s="6" t="n"/>
      <c r="C128" s="6" t="n"/>
      <c r="D128" s="6" t="n"/>
      <c r="E128" s="6" t="n"/>
    </row>
    <row r="129">
      <c r="A129" s="3" t="n"/>
      <c r="B129" s="6" t="n"/>
      <c r="C129" s="6" t="n"/>
      <c r="D129" s="6" t="n"/>
      <c r="E129" s="6" t="n"/>
    </row>
    <row r="130">
      <c r="A130" s="3" t="n"/>
      <c r="B130" s="6" t="n"/>
      <c r="C130" s="6" t="n"/>
      <c r="D130" s="6" t="n"/>
      <c r="E130" s="6" t="n"/>
    </row>
    <row r="131">
      <c r="A131" s="3" t="n"/>
      <c r="B131" s="6" t="n"/>
      <c r="C131" s="6" t="n"/>
      <c r="D131" s="6" t="n"/>
      <c r="E131" s="6" t="n"/>
    </row>
    <row r="132">
      <c r="A132" s="3" t="n"/>
      <c r="B132" s="6" t="n"/>
      <c r="C132" s="6" t="n"/>
      <c r="D132" s="6" t="n"/>
      <c r="E132" s="6" t="n"/>
    </row>
    <row r="133">
      <c r="A133" s="3" t="n"/>
      <c r="B133" s="6" t="n"/>
      <c r="C133" s="6" t="n"/>
      <c r="D133" s="6" t="n"/>
      <c r="E133" s="6" t="n"/>
    </row>
    <row r="134">
      <c r="A134" s="3" t="n"/>
      <c r="B134" s="6" t="n"/>
      <c r="C134" s="6" t="n"/>
      <c r="D134" s="6" t="n"/>
      <c r="E134" s="6" t="n"/>
    </row>
    <row r="135">
      <c r="A135" s="3" t="n"/>
      <c r="B135" s="6" t="n"/>
      <c r="C135" s="6" t="n"/>
      <c r="D135" s="6" t="n"/>
      <c r="E135" s="6" t="n"/>
    </row>
    <row r="136">
      <c r="A136" s="3" t="n"/>
      <c r="B136" s="6" t="n"/>
      <c r="C136" s="6" t="n"/>
      <c r="D136" s="6" t="n"/>
      <c r="E136" s="6" t="n"/>
    </row>
    <row r="137">
      <c r="A137" s="3" t="n"/>
      <c r="B137" s="6" t="n"/>
      <c r="C137" s="6" t="n"/>
      <c r="D137" s="6" t="n"/>
      <c r="E137" s="6" t="n"/>
    </row>
    <row r="138">
      <c r="A138" s="3" t="n"/>
      <c r="B138" s="6" t="n"/>
      <c r="C138" s="6" t="n"/>
      <c r="D138" s="6" t="n"/>
      <c r="E138" s="6" t="n"/>
    </row>
    <row r="139">
      <c r="A139" s="3" t="n"/>
      <c r="B139" s="6" t="n"/>
      <c r="C139" s="6" t="n"/>
      <c r="D139" s="6" t="n"/>
      <c r="E139" s="6" t="n"/>
    </row>
    <row r="140">
      <c r="A140" s="3" t="n"/>
      <c r="B140" s="6" t="n"/>
      <c r="C140" s="6" t="n"/>
      <c r="D140" s="6" t="n"/>
      <c r="E140" s="6" t="n"/>
    </row>
    <row r="141">
      <c r="A141" s="3" t="n"/>
      <c r="B141" s="6" t="n"/>
      <c r="C141" s="6" t="n"/>
      <c r="D141" s="6" t="n"/>
      <c r="E141" s="6" t="n"/>
    </row>
    <row r="142">
      <c r="A142" s="3" t="n"/>
      <c r="B142" s="6" t="n"/>
      <c r="C142" s="6" t="n"/>
      <c r="D142" s="6" t="n"/>
      <c r="E142" s="6" t="n"/>
    </row>
    <row r="143">
      <c r="A143" s="3" t="n"/>
      <c r="B143" s="6" t="n"/>
      <c r="C143" s="6" t="n"/>
      <c r="D143" s="6" t="n"/>
      <c r="E143" s="6" t="n"/>
    </row>
    <row r="144">
      <c r="A144" s="3" t="n"/>
      <c r="B144" s="6" t="n"/>
      <c r="C144" s="6" t="n"/>
      <c r="D144" s="6" t="n"/>
      <c r="E144" s="6" t="n"/>
    </row>
    <row r="145">
      <c r="A145" s="3" t="n"/>
      <c r="B145" s="6" t="n"/>
      <c r="C145" s="6" t="n"/>
      <c r="D145" s="6" t="n"/>
      <c r="E145" s="6" t="n"/>
    </row>
    <row r="146">
      <c r="A146" s="3" t="n"/>
      <c r="B146" s="6" t="n"/>
      <c r="C146" s="6" t="n"/>
      <c r="D146" s="6" t="n"/>
      <c r="E146" s="6" t="n"/>
    </row>
    <row r="147">
      <c r="A147" s="3" t="n"/>
      <c r="B147" s="6" t="n"/>
      <c r="C147" s="6" t="n"/>
      <c r="D147" s="6" t="n"/>
      <c r="E147" s="6" t="n"/>
    </row>
    <row r="148">
      <c r="A148" s="3" t="n"/>
      <c r="B148" s="6" t="n"/>
      <c r="C148" s="6" t="n"/>
      <c r="D148" s="6" t="n"/>
      <c r="E148" s="6" t="n"/>
    </row>
    <row r="149">
      <c r="A149" s="3" t="n"/>
      <c r="B149" s="6" t="n"/>
      <c r="C149" s="6" t="n"/>
      <c r="D149" s="6" t="n"/>
      <c r="E149" s="6" t="n"/>
    </row>
    <row r="150">
      <c r="A150" s="3" t="n"/>
      <c r="B150" s="6" t="n"/>
      <c r="C150" s="6" t="n"/>
      <c r="D150" s="6" t="n"/>
      <c r="E150" s="6" t="n"/>
    </row>
    <row r="151">
      <c r="A151" s="3" t="n"/>
      <c r="B151" s="6" t="n"/>
      <c r="C151" s="6" t="n"/>
      <c r="D151" s="6" t="n"/>
      <c r="E151" s="6" t="n"/>
    </row>
    <row r="152">
      <c r="A152" s="3" t="n"/>
      <c r="B152" s="6" t="n"/>
      <c r="C152" s="6" t="n"/>
      <c r="D152" s="6" t="n"/>
      <c r="E152" s="6" t="n"/>
    </row>
    <row r="153">
      <c r="A153" s="3" t="n"/>
      <c r="B153" s="6" t="n"/>
      <c r="C153" s="6" t="n"/>
      <c r="D153" s="6" t="n"/>
      <c r="E153" s="6" t="n"/>
    </row>
    <row r="154">
      <c r="A154" s="3" t="n"/>
      <c r="B154" s="6" t="n"/>
      <c r="C154" s="6" t="n"/>
      <c r="D154" s="6" t="n"/>
      <c r="E154" s="6" t="n"/>
    </row>
    <row r="155">
      <c r="A155" s="3" t="n"/>
      <c r="B155" s="6" t="n"/>
      <c r="C155" s="6" t="n"/>
      <c r="D155" s="6" t="n"/>
      <c r="E155" s="6" t="n"/>
    </row>
    <row r="156">
      <c r="A156" s="3" t="n"/>
      <c r="B156" s="6" t="n"/>
      <c r="C156" s="6" t="n"/>
      <c r="D156" s="6" t="n"/>
      <c r="E156" s="6" t="n"/>
    </row>
    <row r="157">
      <c r="A157" s="3" t="n"/>
      <c r="B157" s="6" t="n"/>
      <c r="C157" s="6" t="n"/>
      <c r="D157" s="6" t="n"/>
      <c r="E157" s="6" t="n"/>
    </row>
    <row r="158">
      <c r="A158" s="3" t="n"/>
      <c r="B158" s="6" t="n"/>
      <c r="C158" s="6" t="n"/>
      <c r="D158" s="6" t="n"/>
      <c r="E158" s="6" t="n"/>
    </row>
    <row r="159">
      <c r="A159" s="3" t="n"/>
      <c r="B159" s="6" t="n"/>
      <c r="C159" s="6" t="n"/>
      <c r="D159" s="6" t="n"/>
      <c r="E159" s="6" t="n"/>
    </row>
    <row r="160">
      <c r="A160" s="3" t="n"/>
      <c r="B160" s="6" t="n"/>
      <c r="C160" s="6" t="n"/>
      <c r="D160" s="6" t="n"/>
      <c r="E160" s="6" t="n"/>
    </row>
    <row r="161">
      <c r="A161" s="3" t="n"/>
      <c r="B161" s="6" t="n"/>
      <c r="C161" s="6" t="n"/>
      <c r="D161" s="6" t="n"/>
      <c r="E161" s="6" t="n"/>
    </row>
    <row r="162">
      <c r="A162" s="3" t="n"/>
      <c r="B162" s="6" t="n"/>
      <c r="C162" s="6" t="n"/>
      <c r="D162" s="6" t="n"/>
      <c r="E162" s="6" t="n"/>
    </row>
    <row r="163">
      <c r="A163" s="3" t="n"/>
      <c r="B163" s="6" t="n"/>
      <c r="C163" s="6" t="n"/>
      <c r="D163" s="6" t="n"/>
      <c r="E163" s="6" t="n"/>
    </row>
    <row r="164">
      <c r="A164" s="3" t="n"/>
      <c r="B164" s="6" t="n"/>
      <c r="C164" s="6" t="n"/>
      <c r="D164" s="6" t="n"/>
      <c r="E164" s="6" t="n"/>
    </row>
    <row r="165">
      <c r="A165" s="3" t="n"/>
      <c r="B165" s="6" t="n"/>
      <c r="C165" s="6" t="n"/>
      <c r="D165" s="6" t="n"/>
      <c r="E165" s="6" t="n"/>
    </row>
    <row r="166">
      <c r="A166" s="3" t="n"/>
      <c r="B166" s="6" t="n"/>
      <c r="C166" s="6" t="n"/>
      <c r="D166" s="6" t="n"/>
      <c r="E166" s="6" t="n"/>
    </row>
    <row r="167">
      <c r="A167" s="3" t="n"/>
      <c r="B167" s="6" t="n"/>
      <c r="C167" s="6" t="n"/>
      <c r="D167" s="6" t="n"/>
      <c r="E167" s="6" t="n"/>
    </row>
    <row r="168">
      <c r="A168" s="3" t="n"/>
      <c r="B168" s="6" t="n"/>
      <c r="C168" s="6" t="n"/>
      <c r="D168" s="6" t="n"/>
      <c r="E168" s="6" t="n"/>
    </row>
    <row r="169">
      <c r="A169" s="3" t="n"/>
      <c r="B169" s="6" t="n"/>
      <c r="C169" s="6" t="n"/>
      <c r="D169" s="6" t="n"/>
      <c r="E169" s="6" t="n"/>
    </row>
    <row r="170">
      <c r="A170" s="3" t="n"/>
      <c r="B170" s="6" t="n"/>
      <c r="C170" s="6" t="n"/>
      <c r="D170" s="6" t="n"/>
      <c r="E170" s="6" t="n"/>
    </row>
    <row r="171">
      <c r="A171" s="3" t="n"/>
      <c r="B171" s="6" t="n"/>
      <c r="C171" s="6" t="n"/>
      <c r="D171" s="6" t="n"/>
      <c r="E171" s="6" t="n"/>
    </row>
    <row r="172">
      <c r="A172" s="3" t="n"/>
      <c r="B172" s="6" t="n"/>
      <c r="C172" s="6" t="n"/>
      <c r="D172" s="6" t="n"/>
      <c r="E172" s="6" t="n"/>
    </row>
    <row r="173">
      <c r="A173" s="3" t="n"/>
      <c r="B173" s="6" t="n"/>
      <c r="C173" s="6" t="n"/>
      <c r="D173" s="6" t="n"/>
      <c r="E173" s="6" t="n"/>
    </row>
    <row r="174">
      <c r="A174" s="3" t="n"/>
      <c r="B174" s="6" t="n"/>
      <c r="C174" s="6" t="n"/>
      <c r="D174" s="6" t="n"/>
      <c r="E174" s="6" t="n"/>
    </row>
    <row r="175">
      <c r="A175" s="3" t="n"/>
      <c r="B175" s="6" t="n"/>
      <c r="C175" s="6" t="n"/>
      <c r="D175" s="6" t="n"/>
      <c r="E175" s="6" t="n"/>
    </row>
    <row r="176">
      <c r="A176" s="3" t="n"/>
      <c r="B176" s="6" t="n"/>
      <c r="C176" s="6" t="n"/>
      <c r="D176" s="6" t="n"/>
      <c r="E176" s="6" t="n"/>
    </row>
    <row r="177">
      <c r="A177" s="3" t="n"/>
      <c r="B177" s="6" t="n"/>
      <c r="C177" s="6" t="n"/>
      <c r="D177" s="6" t="n"/>
      <c r="E177" s="6" t="n"/>
    </row>
    <row r="178">
      <c r="A178" s="3" t="n"/>
      <c r="B178" s="6" t="n"/>
      <c r="C178" s="6" t="n"/>
      <c r="D178" s="6" t="n"/>
      <c r="E178" s="6" t="n"/>
    </row>
    <row r="179">
      <c r="A179" s="3" t="n"/>
      <c r="B179" s="6" t="n"/>
      <c r="C179" s="6" t="n"/>
      <c r="D179" s="6" t="n"/>
      <c r="E179" s="6" t="n"/>
    </row>
    <row r="180">
      <c r="A180" s="3" t="n"/>
      <c r="B180" s="6" t="n"/>
      <c r="C180" s="6" t="n"/>
      <c r="D180" s="6" t="n"/>
      <c r="E180" s="6" t="n"/>
    </row>
    <row r="181">
      <c r="A181" s="3" t="n"/>
      <c r="B181" s="6" t="n"/>
      <c r="C181" s="6" t="n"/>
      <c r="D181" s="6" t="n"/>
      <c r="E181" s="6" t="n"/>
    </row>
    <row r="182">
      <c r="A182" s="3" t="n"/>
      <c r="B182" s="6" t="n"/>
      <c r="C182" s="6" t="n"/>
      <c r="D182" s="6" t="n"/>
      <c r="E182" s="6" t="n"/>
    </row>
    <row r="183">
      <c r="A183" s="3" t="n"/>
      <c r="B183" s="6" t="n"/>
      <c r="C183" s="6" t="n"/>
      <c r="D183" s="6" t="n"/>
      <c r="E183" s="6" t="n"/>
    </row>
    <row r="184">
      <c r="A184" s="3" t="n"/>
      <c r="B184" s="6" t="n"/>
      <c r="C184" s="6" t="n"/>
      <c r="D184" s="6" t="n"/>
      <c r="E184" s="6" t="n"/>
    </row>
    <row r="185">
      <c r="A185" s="3" t="n"/>
      <c r="B185" s="6" t="n"/>
      <c r="C185" s="6" t="n"/>
      <c r="D185" s="6" t="n"/>
      <c r="E185" s="6" t="n"/>
    </row>
    <row r="186">
      <c r="A186" s="3" t="n"/>
      <c r="B186" s="6" t="n"/>
      <c r="C186" s="6" t="n"/>
      <c r="D186" s="6" t="n"/>
      <c r="E186" s="6" t="n"/>
    </row>
    <row r="187">
      <c r="A187" s="3" t="n"/>
      <c r="B187" s="6" t="n"/>
      <c r="C187" s="6" t="n"/>
      <c r="D187" s="6" t="n"/>
      <c r="E187" s="6" t="n"/>
    </row>
    <row r="188">
      <c r="A188" s="3" t="n"/>
      <c r="B188" s="6" t="n"/>
      <c r="C188" s="6" t="n"/>
      <c r="D188" s="6" t="n"/>
      <c r="E188" s="6" t="n"/>
    </row>
    <row r="189">
      <c r="A189" s="3" t="n"/>
      <c r="B189" s="6" t="n"/>
      <c r="C189" s="6" t="n"/>
      <c r="D189" s="6" t="n"/>
      <c r="E189" s="6" t="n"/>
    </row>
    <row r="190">
      <c r="A190" s="3" t="n"/>
      <c r="B190" s="6" t="n"/>
      <c r="C190" s="6" t="n"/>
      <c r="D190" s="6" t="n"/>
      <c r="E190" s="6" t="n"/>
    </row>
    <row r="191">
      <c r="A191" s="3" t="n"/>
      <c r="B191" s="6" t="n"/>
      <c r="C191" s="6" t="n"/>
      <c r="D191" s="6" t="n"/>
      <c r="E191" s="6" t="n"/>
    </row>
    <row r="192">
      <c r="A192" s="3" t="n"/>
      <c r="B192" s="6" t="n"/>
      <c r="C192" s="6" t="n"/>
      <c r="D192" s="6" t="n"/>
      <c r="E192" s="6" t="n"/>
    </row>
    <row r="193">
      <c r="A193" s="3" t="n"/>
      <c r="B193" s="6" t="n"/>
      <c r="C193" s="6" t="n"/>
      <c r="D193" s="6" t="n"/>
      <c r="E193" s="6" t="n"/>
    </row>
    <row r="194">
      <c r="A194" s="3" t="n"/>
      <c r="B194" s="6" t="n"/>
      <c r="C194" s="6" t="n"/>
      <c r="D194" s="6" t="n"/>
      <c r="E194" s="6" t="n"/>
    </row>
    <row r="195">
      <c r="A195" s="3" t="n"/>
      <c r="B195" s="6" t="n"/>
      <c r="C195" s="6" t="n"/>
      <c r="D195" s="6" t="n"/>
      <c r="E195" s="6" t="n"/>
    </row>
    <row r="196">
      <c r="A196" s="3" t="n"/>
      <c r="B196" s="6" t="n"/>
      <c r="C196" s="6" t="n"/>
      <c r="D196" s="6" t="n"/>
      <c r="E196" s="6" t="n"/>
    </row>
    <row r="197">
      <c r="A197" s="3" t="n"/>
      <c r="B197" s="6" t="n"/>
      <c r="C197" s="6" t="n"/>
      <c r="D197" s="6" t="n"/>
      <c r="E197" s="6" t="n"/>
    </row>
    <row r="198">
      <c r="A198" s="3" t="n"/>
      <c r="B198" s="6" t="n"/>
      <c r="C198" s="6" t="n"/>
      <c r="D198" s="6" t="n"/>
      <c r="E198" s="6" t="n"/>
    </row>
    <row r="199">
      <c r="A199" s="3" t="n"/>
      <c r="B199" s="6" t="n"/>
      <c r="C199" s="6" t="n"/>
      <c r="D199" s="6" t="n"/>
      <c r="E199" s="6"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60" customWidth="1" min="3" max="3"/>
    <col width="12" customWidth="1" min="4" max="4"/>
  </cols>
  <sheetData>
    <row r="1">
      <c r="A1" s="4" t="inlineStr">
        <is>
          <t>Gate</t>
        </is>
      </c>
      <c r="B1" s="4" t="inlineStr">
        <is>
          <t>Definition</t>
        </is>
      </c>
      <c r="C1" s="4" t="inlineStr">
        <is>
          <t>Formula</t>
        </is>
      </c>
      <c r="D1" s="4" t="inlineStr">
        <is>
          <t>Result</t>
        </is>
      </c>
    </row>
    <row r="2">
      <c r="A2" s="3" t="inlineStr">
        <is>
          <t>Quote_Compliance_%</t>
        </is>
      </c>
      <c r="B2" s="3" t="inlineStr">
        <is>
          <t>% of EDGES with Quote_Compliant=YES</t>
        </is>
      </c>
      <c r="C2" s="3">
        <f>IFERROR(COUNTIF(EDGES!J:J,"YES")/(COUNTA(EDGES!A:A)-1),0)</f>
        <v/>
      </c>
      <c r="D2" s="3">
        <f>IF(D2&gt;=0.7,"PASS","FAIL")</f>
        <v/>
      </c>
    </row>
    <row r="3">
      <c r="A3" s="3" t="inlineStr">
        <is>
          <t>Ingestion_Backlog</t>
        </is>
      </c>
      <c r="B3" s="3" t="inlineStr">
        <is>
          <t>Count of RECORD_ITEMS Requires_Ingestion=YES</t>
        </is>
      </c>
      <c r="C3" s="3">
        <f>COUNTIF(RECORD_ITEMS!Q:Q,"YES")</f>
        <v/>
      </c>
      <c r="D3" s="3">
        <f>IF(D3=0,"PASS","FAIL")</f>
        <v/>
      </c>
    </row>
    <row r="4">
      <c r="A4" s="3" t="inlineStr">
        <is>
          <t>Holding_Text_Verified</t>
        </is>
      </c>
      <c r="B4" s="3" t="inlineStr">
        <is>
          <t>Count of AUTHORITIES Holding_Text_Verified=NO</t>
        </is>
      </c>
      <c r="C4" s="3">
        <f>COUNTIF(AUTHORITIES!N:N,"NO")</f>
        <v/>
      </c>
      <c r="D4" s="3">
        <f>IF(D4=0,"PASS","FAIL")</f>
        <v/>
      </c>
    </row>
    <row r="5">
      <c r="A5" s="3" t="inlineStr">
        <is>
          <t>Open_Contradictions</t>
        </is>
      </c>
      <c r="B5" s="3" t="inlineStr">
        <is>
          <t>Count of CONTRADICTIONS Status=OPEN</t>
        </is>
      </c>
      <c r="C5" s="3">
        <f>COUNTIF(CONTRADICTIONS!N:N,"OPEN")</f>
        <v/>
      </c>
      <c r="D5" s="3">
        <f>IF(D5=0,"PASS","FAIL")</f>
        <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4" customWidth="1" min="3" max="3"/>
    <col width="24" customWidth="1" min="4" max="4"/>
    <col width="22" customWidth="1" min="5" max="5"/>
    <col width="55" customWidth="1" min="6" max="6"/>
    <col width="23" customWidth="1" min="7" max="7"/>
    <col width="22" customWidth="1" min="8" max="8"/>
    <col width="55" customWidth="1" min="9" max="9"/>
    <col width="22" customWidth="1" min="10" max="10"/>
    <col width="55" customWidth="1" min="11" max="11"/>
  </cols>
  <sheetData>
    <row r="1">
      <c r="A1" s="4" t="inlineStr">
        <is>
          <t>Issue_ID</t>
        </is>
      </c>
      <c r="B1" s="4" t="inlineStr">
        <is>
          <t>Issue_Title</t>
        </is>
      </c>
      <c r="C1" s="4" t="inlineStr">
        <is>
          <t>Status</t>
        </is>
      </c>
      <c r="D1" s="4" t="inlineStr">
        <is>
          <t>Primary_Anchor_Edge_ID</t>
        </is>
      </c>
      <c r="E1" s="4" t="inlineStr">
        <is>
          <t>Primary_Anchor_Layer</t>
        </is>
      </c>
      <c r="F1" s="4" t="inlineStr">
        <is>
          <t>Primary_Anchor_Quote</t>
        </is>
      </c>
      <c r="G1" s="4" t="inlineStr">
        <is>
          <t>Primary_Anchor_Source</t>
        </is>
      </c>
      <c r="H1" s="4" t="inlineStr">
        <is>
          <t>Top_Contradiction_ID</t>
        </is>
      </c>
      <c r="I1" s="4" t="inlineStr">
        <is>
          <t>Contradiction_Short</t>
        </is>
      </c>
      <c r="J1" s="4" t="inlineStr">
        <is>
          <t>Anchor_Upgrade_Count</t>
        </is>
      </c>
      <c r="K1" s="4" t="inlineStr">
        <is>
          <t>Next_Action</t>
        </is>
      </c>
    </row>
    <row r="2">
      <c r="A2" s="3" t="inlineStr">
        <is>
          <t>I-DAMAGES</t>
        </is>
      </c>
      <c r="B2" s="3" t="inlineStr">
        <is>
          <t>Damages proof / estimate vs payment / remediation invoices</t>
        </is>
      </c>
      <c r="C2" s="3" t="inlineStr">
        <is>
          <t>draft-safe</t>
        </is>
      </c>
      <c r="D2" s="3" t="inlineStr">
        <is>
          <t>E00016</t>
        </is>
      </c>
      <c r="E2" s="3" t="inlineStr">
        <is>
          <t>EVIDENCE_ITEM</t>
        </is>
      </c>
      <c r="F2" s="3" t="inlineStr">
        <is>
          <t>SJ requires no genuine dispute of material fact.</t>
        </is>
      </c>
      <c r="G2" s="3" t="n"/>
      <c r="H2" s="3" t="inlineStr">
        <is>
          <t>CON-001</t>
        </is>
      </c>
      <c r="I2" s="3" t="inlineStr">
        <is>
          <t>Miami Mold letter says 'no proof of payment exists' while payment detail shows cash payment entry.</t>
        </is>
      </c>
      <c r="J2" s="3" t="n">
        <v>7</v>
      </c>
      <c r="K2" s="3" t="inlineStr">
        <is>
          <t>1) Upgrade anchors (Quote_Compliant=YES). 2) Ingest required items. 3) Draft argument using Primary Anchor + Contradiction.</t>
        </is>
      </c>
    </row>
    <row r="3">
      <c r="A3" s="3" t="inlineStr">
        <is>
          <t>I-SPOLIATION</t>
        </is>
      </c>
      <c r="B3" s="3" t="inlineStr">
        <is>
          <t>Washer/dryer disposal; adverse inference</t>
        </is>
      </c>
      <c r="C3" s="3" t="inlineStr">
        <is>
          <t>draft-safe</t>
        </is>
      </c>
      <c r="D3" s="3" t="inlineStr">
        <is>
          <t>E00066</t>
        </is>
      </c>
      <c r="E3" s="3" t="inlineStr">
        <is>
          <t>ROA_SPINE</t>
        </is>
      </c>
      <c r="F3" s="3" t="inlineStr">
        <is>
          <t>Police Report #2019-00042552 documents Plaintiff's unauthorized removal and disposal of Defendant's property</t>
        </is>
      </c>
      <c r="G3" s="3" t="n"/>
      <c r="H3" s="3" t="inlineStr"/>
      <c r="I3" s="3" t="inlineStr"/>
      <c r="J3" s="3" t="n">
        <v>3</v>
      </c>
      <c r="K3" s="3" t="inlineStr">
        <is>
          <t>1) Upgrade anchors (Quote_Compliant=YES). 2) Ingest required items. 3) Draft argument using Primary Anchor + Contradiction.</t>
        </is>
      </c>
    </row>
    <row r="4">
      <c r="A4" s="3" t="inlineStr">
        <is>
          <t>I-SECDEP</t>
        </is>
      </c>
      <c r="B4" s="3" t="inlineStr">
        <is>
          <t>§83.49 written notice compliance</t>
        </is>
      </c>
      <c r="C4" s="3" t="inlineStr">
        <is>
          <t>needs_record</t>
        </is>
      </c>
      <c r="D4" s="3" t="inlineStr">
        <is>
          <t>E00060</t>
        </is>
      </c>
      <c r="E4" s="3" t="inlineStr">
        <is>
          <t>ROA_SPINE</t>
        </is>
      </c>
      <c r="F4" s="3" t="inlineStr">
        <is>
          <t>§83.49(3) notice; $4,200 itemized [dated 01/06/2018]</t>
        </is>
      </c>
      <c r="G4" s="3" t="n"/>
      <c r="H4" s="3" t="inlineStr"/>
      <c r="I4" s="3" t="inlineStr"/>
      <c r="J4" s="3" t="n">
        <v>6</v>
      </c>
      <c r="K4" s="3" t="inlineStr">
        <is>
          <t>1) Upgrade anchors (Quote_Compliant=YES). 2) Ingest required items. 3) Draft argument using Primary Anchor + Contradiction.</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4" customWidth="1" min="4" max="4"/>
    <col width="22" customWidth="1" min="5" max="5"/>
    <col width="12" customWidth="1" min="6" max="6"/>
    <col width="15" customWidth="1" min="7" max="7"/>
    <col width="12" customWidth="1" min="8" max="8"/>
    <col width="17" customWidth="1" min="9" max="9"/>
    <col width="25" customWidth="1" min="10" max="10"/>
    <col width="18" customWidth="1" min="11" max="11"/>
    <col width="25" customWidth="1" min="12" max="12"/>
    <col width="12" customWidth="1" min="13" max="13"/>
  </cols>
  <sheetData>
    <row r="1">
      <c r="A1" s="4" t="inlineStr">
        <is>
          <t>Issue_ID</t>
        </is>
      </c>
      <c r="B1" s="4" t="inlineStr">
        <is>
          <t>Issue_Title</t>
        </is>
      </c>
      <c r="C1" s="4" t="inlineStr">
        <is>
          <t>Status</t>
        </is>
      </c>
      <c r="D1" s="4" t="inlineStr">
        <is>
          <t>Support_Rank</t>
        </is>
      </c>
      <c r="E1" s="4" t="inlineStr">
        <is>
          <t>Best_Support_Edge_ID</t>
        </is>
      </c>
      <c r="F1" s="4" t="inlineStr">
        <is>
          <t>From</t>
        </is>
      </c>
      <c r="G1" s="4" t="inlineStr">
        <is>
          <t>Relation_Type</t>
        </is>
      </c>
      <c r="H1" s="4" t="inlineStr">
        <is>
          <t>Layer</t>
        </is>
      </c>
      <c r="I1" s="4" t="inlineStr">
        <is>
          <t>Quote_Compliant</t>
        </is>
      </c>
      <c r="J1" s="4" t="inlineStr">
        <is>
          <t>Evidence_Quote_Verbatim</t>
        </is>
      </c>
      <c r="K1" s="4" t="inlineStr">
        <is>
          <t>Evidence_Summary</t>
        </is>
      </c>
      <c r="L1" s="4" t="inlineStr">
        <is>
          <t>Evidence_RecordItem_IDs</t>
        </is>
      </c>
      <c r="M1" s="4" t="inlineStr">
        <is>
          <t>Notes</t>
        </is>
      </c>
    </row>
    <row r="2">
      <c r="A2" s="3" t="inlineStr">
        <is>
          <t>I-DAMAGES</t>
        </is>
      </c>
      <c r="B2" s="3" t="inlineStr">
        <is>
          <t>Damages proof / estimate vs payment / remediation invoices</t>
        </is>
      </c>
      <c r="C2" s="3" t="inlineStr">
        <is>
          <t>draft-safe</t>
        </is>
      </c>
      <c r="D2" s="3" t="n">
        <v>1</v>
      </c>
      <c r="E2" s="3" t="inlineStr">
        <is>
          <t>E00016</t>
        </is>
      </c>
      <c r="F2" s="3" t="inlineStr">
        <is>
          <t>Rule 1.510</t>
        </is>
      </c>
      <c r="G2" s="3" t="inlineStr">
        <is>
          <t>SUPPORTS_ISSUE</t>
        </is>
      </c>
      <c r="H2" s="3" t="inlineStr">
        <is>
          <t>EVIDENCE_ITEM</t>
        </is>
      </c>
      <c r="I2" s="3" t="inlineStr">
        <is>
          <t>YES</t>
        </is>
      </c>
      <c r="J2" s="3" t="inlineStr">
        <is>
          <t>SJ requires no genuine dispute of material fact.</t>
        </is>
      </c>
      <c r="K2" s="3" t="n"/>
      <c r="L2" s="3" t="n"/>
      <c r="M2" s="3" t="n"/>
    </row>
    <row r="3">
      <c r="A3" s="3" t="inlineStr">
        <is>
          <t>I-DAMAGES</t>
        </is>
      </c>
      <c r="B3" s="3" t="inlineStr">
        <is>
          <t>Damages proof / estimate vs payment / remediation invoices</t>
        </is>
      </c>
      <c r="C3" s="3" t="inlineStr">
        <is>
          <t>draft-safe</t>
        </is>
      </c>
      <c r="D3" s="3" t="n">
        <v>2</v>
      </c>
      <c r="E3" s="3" t="inlineStr">
        <is>
          <t>E00010</t>
        </is>
      </c>
      <c r="F3" s="3" t="inlineStr">
        <is>
          <t>Drimmer estimate label line</t>
        </is>
      </c>
      <c r="G3" s="3" t="inlineStr">
        <is>
          <t>SUPPORTS_ISSUE</t>
        </is>
      </c>
      <c r="H3" s="3" t="inlineStr">
        <is>
          <t>EVIDENCE_ITEM</t>
        </is>
      </c>
      <c r="I3" s="3" t="inlineStr">
        <is>
          <t>NO</t>
        </is>
      </c>
      <c r="J3" s="3" t="n"/>
      <c r="K3" s="3" t="inlineStr">
        <is>
          <t>ESTIMATE</t>
        </is>
      </c>
      <c r="L3" s="3" t="inlineStr">
        <is>
          <t>ROA-TXT-1336</t>
        </is>
      </c>
      <c r="M3" s="3" t="n"/>
    </row>
    <row r="4">
      <c r="A4" s="3" t="inlineStr">
        <is>
          <t>I-DAMAGES</t>
        </is>
      </c>
      <c r="B4" s="3" t="inlineStr">
        <is>
          <t>Damages proof / estimate vs payment / remediation invoices</t>
        </is>
      </c>
      <c r="C4" s="3" t="inlineStr">
        <is>
          <t>draft-safe</t>
        </is>
      </c>
      <c r="D4" s="3" t="n">
        <v>3</v>
      </c>
      <c r="E4" s="3" t="inlineStr">
        <is>
          <t>E00011</t>
        </is>
      </c>
      <c r="F4" s="3" t="inlineStr">
        <is>
          <t>Miami Mold payment detail lines (amount/method/invoice)</t>
        </is>
      </c>
      <c r="G4" s="3" t="inlineStr">
        <is>
          <t>SUPPORTS_ISSUE</t>
        </is>
      </c>
      <c r="H4" s="3" t="inlineStr">
        <is>
          <t>EVIDENCE_ITEM</t>
        </is>
      </c>
      <c r="I4" s="3" t="inlineStr">
        <is>
          <t>NO</t>
        </is>
      </c>
      <c r="J4" s="3" t="n"/>
      <c r="K4" s="3" t="inlineStr">
        <is>
          <t>pt for Payment Amount: $6,500,00 | f nns;ic1ion rmte: 01i2'1!201 a Mc1hod oi payncnt: Ca.sh | Payricnl ol Invoice #80623</t>
        </is>
      </c>
      <c r="L4" s="3" t="inlineStr">
        <is>
          <t>ROA-TXT-17966</t>
        </is>
      </c>
      <c r="M4" s="3" t="n"/>
    </row>
    <row r="5">
      <c r="A5" s="3" t="inlineStr">
        <is>
          <t>I-SPOLIATION</t>
        </is>
      </c>
      <c r="B5" s="3" t="inlineStr">
        <is>
          <t>Washer/dryer disposal; adverse inference</t>
        </is>
      </c>
      <c r="C5" s="3" t="inlineStr">
        <is>
          <t>draft-safe</t>
        </is>
      </c>
      <c r="D5" s="3" t="n">
        <v>1</v>
      </c>
      <c r="E5" s="3" t="inlineStr">
        <is>
          <t>E00066</t>
        </is>
      </c>
      <c r="F5" s="3" t="inlineStr">
        <is>
          <t>Police Report #2019-00042552</t>
        </is>
      </c>
      <c r="G5" s="3" t="inlineStr">
        <is>
          <t>SUPPORTS_ISSUE</t>
        </is>
      </c>
      <c r="H5" s="3" t="inlineStr">
        <is>
          <t>ROA_SPINE</t>
        </is>
      </c>
      <c r="I5" s="3" t="inlineStr">
        <is>
          <t>YES</t>
        </is>
      </c>
      <c r="J5" s="3" t="inlineStr">
        <is>
          <t>Police Report #2019-00042552 documents Plaintiff's unauthorized removal and disposal of Defendant's property</t>
        </is>
      </c>
      <c r="K5" s="3" t="n"/>
      <c r="L5" s="3" t="n"/>
      <c r="M5" s="3" t="inlineStr">
        <is>
          <t>Imported from JSON</t>
        </is>
      </c>
    </row>
    <row r="6">
      <c r="A6" s="3" t="inlineStr">
        <is>
          <t>I-SPOLIATION</t>
        </is>
      </c>
      <c r="B6" s="3" t="inlineStr">
        <is>
          <t>Washer/dryer disposal; adverse inference</t>
        </is>
      </c>
      <c r="C6" s="3" t="inlineStr">
        <is>
          <t>draft-safe</t>
        </is>
      </c>
      <c r="D6" s="3" t="n">
        <v>2</v>
      </c>
      <c r="E6" s="3" t="inlineStr">
        <is>
          <t>E00013</t>
        </is>
      </c>
      <c r="F6" s="3" t="inlineStr">
        <is>
          <t>Defendants' Reply assertion re police report disposal</t>
        </is>
      </c>
      <c r="G6" s="3" t="inlineStr">
        <is>
          <t>SUPPORTS_ISSUE</t>
        </is>
      </c>
      <c r="H6" s="3" t="inlineStr">
        <is>
          <t>MOTION_ASSERTION</t>
        </is>
      </c>
      <c r="I6" s="3" t="inlineStr">
        <is>
          <t>YES</t>
        </is>
      </c>
      <c r="J6" s="3" t="inlineStr">
        <is>
          <t>Police Report #2019-00042552 documents Plaintiff's unauthorized removal and disposal of Defendant's property ..</t>
        </is>
      </c>
      <c r="K6" s="3" t="n"/>
      <c r="L6" s="3" t="inlineStr">
        <is>
          <t>ROA-TXT-18011</t>
        </is>
      </c>
      <c r="M6" s="3" t="n"/>
    </row>
    <row r="7">
      <c r="A7" s="3" t="inlineStr">
        <is>
          <t>I-SPOLIATION</t>
        </is>
      </c>
      <c r="B7" s="3" t="inlineStr">
        <is>
          <t>Washer/dryer disposal; adverse inference</t>
        </is>
      </c>
      <c r="C7" s="3" t="inlineStr">
        <is>
          <t>draft-safe</t>
        </is>
      </c>
      <c r="D7" s="3" t="n">
        <v>3</v>
      </c>
      <c r="E7" s="3" t="inlineStr">
        <is>
          <t>E00014</t>
        </is>
      </c>
      <c r="F7" s="3" t="inlineStr">
        <is>
          <t>Defendants' Reply reliance on Valcin for adverse inference</t>
        </is>
      </c>
      <c r="G7" s="3" t="inlineStr">
        <is>
          <t>SUPPORTS_ISSUE</t>
        </is>
      </c>
      <c r="H7" s="3" t="inlineStr">
        <is>
          <t>MOTION_ASSERTION</t>
        </is>
      </c>
      <c r="I7" s="3" t="inlineStr">
        <is>
          <t>YES</t>
        </is>
      </c>
      <c r="J7" s="3" t="inlineStr">
        <is>
          <t>Under Public Health Trust v. Valcin, 507 So. 2d 596 (Fla. 1987), this mandates an adverse inference.</t>
        </is>
      </c>
      <c r="K7" s="3" t="n"/>
      <c r="L7" s="3" t="inlineStr">
        <is>
          <t>ROA-TXT-18017</t>
        </is>
      </c>
      <c r="M7" s="3" t="n"/>
    </row>
    <row r="8">
      <c r="A8" s="3" t="inlineStr">
        <is>
          <t>I-SECDEP</t>
        </is>
      </c>
      <c r="B8" s="3" t="inlineStr">
        <is>
          <t>§83.49 written notice compliance</t>
        </is>
      </c>
      <c r="C8" s="3" t="inlineStr">
        <is>
          <t>needs_record</t>
        </is>
      </c>
      <c r="D8" s="3" t="n">
        <v>1</v>
      </c>
      <c r="E8" s="3" t="inlineStr">
        <is>
          <t>E00060</t>
        </is>
      </c>
      <c r="F8" s="3" t="inlineStr">
        <is>
          <t>E-SEC-01</t>
        </is>
      </c>
      <c r="G8" s="3" t="inlineStr">
        <is>
          <t>SUPPORTS_ISSUE</t>
        </is>
      </c>
      <c r="H8" s="3" t="inlineStr">
        <is>
          <t>ROA_SPINE</t>
        </is>
      </c>
      <c r="I8" s="3" t="inlineStr">
        <is>
          <t>YES</t>
        </is>
      </c>
      <c r="J8" s="3" t="inlineStr">
        <is>
          <t>§83.49(3) notice; $4,200 itemized [dated 01/06/2018]</t>
        </is>
      </c>
      <c r="K8" s="3" t="n"/>
      <c r="L8" s="3" t="n"/>
      <c r="M8" s="3" t="inlineStr">
        <is>
          <t>Imported from JSON</t>
        </is>
      </c>
    </row>
    <row r="9">
      <c r="A9" s="3" t="inlineStr">
        <is>
          <t>I-SECDEP</t>
        </is>
      </c>
      <c r="B9" s="3" t="inlineStr">
        <is>
          <t>§83.49 written notice compliance</t>
        </is>
      </c>
      <c r="C9" s="3" t="inlineStr">
        <is>
          <t>needs_record</t>
        </is>
      </c>
      <c r="D9" s="3" t="n">
        <v>2</v>
      </c>
      <c r="E9" s="3" t="inlineStr">
        <is>
          <t>E00008</t>
        </is>
      </c>
      <c r="F9" s="3" t="inlineStr">
        <is>
          <t>Security deposit notice title line</t>
        </is>
      </c>
      <c r="G9" s="3" t="inlineStr">
        <is>
          <t>SUPPORTS_ISSUE</t>
        </is>
      </c>
      <c r="H9" s="3" t="inlineStr">
        <is>
          <t>EVIDENCE_ITEM</t>
        </is>
      </c>
      <c r="I9" s="3" t="inlineStr">
        <is>
          <t>YES</t>
        </is>
      </c>
      <c r="J9" s="3" t="inlineStr">
        <is>
          <t>NOTICE OF INTENTION TO IMPOSE CLAIM ON SECURITY DEPOSIT</t>
        </is>
      </c>
      <c r="K9" s="3" t="n"/>
      <c r="L9" s="3" t="inlineStr">
        <is>
          <t>ROA-TXT-5960</t>
        </is>
      </c>
      <c r="M9" s="3" t="n"/>
    </row>
    <row r="10">
      <c r="A10" s="3" t="inlineStr">
        <is>
          <t>I-SECDEP</t>
        </is>
      </c>
      <c r="B10" s="3" t="inlineStr">
        <is>
          <t>§83.49 written notice compliance</t>
        </is>
      </c>
      <c r="C10" s="3" t="inlineStr">
        <is>
          <t>needs_record</t>
        </is>
      </c>
      <c r="D10" s="3" t="n">
        <v>3</v>
      </c>
      <c r="E10" s="3" t="inlineStr">
        <is>
          <t>E00009</t>
        </is>
      </c>
      <c r="F10" s="3" t="inlineStr">
        <is>
          <t>Security deposit notice date line</t>
        </is>
      </c>
      <c r="G10" s="3" t="inlineStr">
        <is>
          <t>SUPPORTS_ISSUE</t>
        </is>
      </c>
      <c r="H10" s="3" t="inlineStr">
        <is>
          <t>EVIDENCE_ITEM</t>
        </is>
      </c>
      <c r="I10" s="3" t="inlineStr">
        <is>
          <t>NO</t>
        </is>
      </c>
      <c r="J10" s="3" t="n"/>
      <c r="K10" s="3" t="inlineStr">
        <is>
          <t>DATE: January 6th, 2018</t>
        </is>
      </c>
      <c r="L10" s="3" t="inlineStr">
        <is>
          <t>ROA-TXT-5962</t>
        </is>
      </c>
      <c r="M10" s="3" t="n"/>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3" customWidth="1" min="3" max="3"/>
    <col width="15" customWidth="1" min="4" max="4"/>
    <col width="12" customWidth="1" min="5" max="5"/>
    <col width="12" customWidth="1" min="6" max="6"/>
    <col width="12" customWidth="1" min="7" max="7"/>
    <col width="12" customWidth="1" min="8" max="8"/>
    <col width="12" customWidth="1" min="9" max="9"/>
    <col width="18" customWidth="1" min="10" max="10"/>
    <col width="19" customWidth="1" min="11" max="11"/>
    <col width="12" customWidth="1" min="12" max="12"/>
    <col width="12" customWidth="1" min="13" max="13"/>
    <col width="18" customWidth="1" min="14" max="14"/>
    <col width="19" customWidth="1" min="15" max="15"/>
    <col width="17" customWidth="1" min="16" max="16"/>
  </cols>
  <sheetData>
    <row r="1">
      <c r="A1" s="4" t="inlineStr">
        <is>
          <t>Conflict_ID</t>
        </is>
      </c>
      <c r="B1" s="4" t="inlineStr">
        <is>
          <t>Issue_ID</t>
        </is>
      </c>
      <c r="C1" s="4" t="inlineStr">
        <is>
          <t>Issue_Title</t>
        </is>
      </c>
      <c r="D1" s="4" t="inlineStr">
        <is>
          <t>Conflict_Type</t>
        </is>
      </c>
      <c r="E1" s="4" t="inlineStr">
        <is>
          <t>Impact</t>
        </is>
      </c>
      <c r="F1" s="4" t="inlineStr">
        <is>
          <t>Use_Mode</t>
        </is>
      </c>
      <c r="G1" s="4" t="inlineStr">
        <is>
          <t>Status</t>
        </is>
      </c>
      <c r="H1" s="4" t="inlineStr">
        <is>
          <t>Item_A</t>
        </is>
      </c>
      <c r="I1" s="4" t="inlineStr">
        <is>
          <t>Layer_A</t>
        </is>
      </c>
      <c r="J1" s="4" t="inlineStr">
        <is>
          <t>A_Quote_Verbatim</t>
        </is>
      </c>
      <c r="K1" s="4" t="inlineStr">
        <is>
          <t>A_Source_Location</t>
        </is>
      </c>
      <c r="L1" s="4" t="inlineStr">
        <is>
          <t>Item_B</t>
        </is>
      </c>
      <c r="M1" s="4" t="inlineStr">
        <is>
          <t>Layer_B</t>
        </is>
      </c>
      <c r="N1" s="4" t="inlineStr">
        <is>
          <t>B_Quote_Verbatim</t>
        </is>
      </c>
      <c r="O1" s="4" t="inlineStr">
        <is>
          <t>B_Source_Location</t>
        </is>
      </c>
      <c r="P1" s="4" t="inlineStr">
        <is>
          <t>Resolution_Path</t>
        </is>
      </c>
    </row>
    <row r="2">
      <c r="A2" s="3" t="inlineStr">
        <is>
          <t>CON-001</t>
        </is>
      </c>
      <c r="B2" s="3" t="inlineStr">
        <is>
          <t>I-DAMAGES</t>
        </is>
      </c>
      <c r="C2" s="3" t="inlineStr">
        <is>
          <t>Damages proof / estimate vs payment / remediation invoices</t>
        </is>
      </c>
      <c r="D2" s="3" t="inlineStr">
        <is>
          <t>record-vs-record</t>
        </is>
      </c>
      <c r="E2" s="3" t="inlineStr">
        <is>
          <t>High</t>
        </is>
      </c>
      <c r="F2" s="3" t="inlineStr">
        <is>
          <t>exploit</t>
        </is>
      </c>
      <c r="G2" s="3" t="inlineStr">
        <is>
          <t>OPEN</t>
        </is>
      </c>
      <c r="H2" s="3" t="inlineStr">
        <is>
          <t>ROA-TXT-16626</t>
        </is>
      </c>
      <c r="I2" s="3" t="inlineStr">
        <is>
          <t>EVIDENCE_ITEM</t>
        </is>
      </c>
      <c r="J2" s="3" t="inlineStr">
        <is>
          <t>~o proof of payment exists of the S6.500.UO cash paymentthat Eli Cohen made tu Miami \fold LLC for mold remediation pcrfoHrn:d at his apartmc:nt located at: 1000 South Pointe Drive. Unit TI-f-/\5, Miami Beach, Fl, 33139 other than invoice #</t>
        </is>
      </c>
      <c r="K2" s="3" t="inlineStr">
        <is>
          <t>DOC-ROA-TXT@L16626</t>
        </is>
      </c>
      <c r="L2" s="3" t="inlineStr">
        <is>
          <t>ROA-TXT-17966</t>
        </is>
      </c>
      <c r="M2" s="3" t="inlineStr">
        <is>
          <t>EVIDENCE_ITEM</t>
        </is>
      </c>
      <c r="N2" s="3" t="inlineStr">
        <is>
          <t>pt for Payment Amount: $6,500,00 | f nns;ic1ion rmte: 01i2'1!201 a Mc1hod oi payncnt: Ca.sh | Payricnl ol Invoice #80623</t>
        </is>
      </c>
      <c r="O2" s="3" t="inlineStr">
        <is>
          <t>DOC-ROA-TXT@L17966-L17968</t>
        </is>
      </c>
      <c r="P2" s="3" t="inlineStr">
        <is>
          <t>Frame as internal record conflict; argue dispute/credibility; avoid categorical statements.</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5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4" customWidth="1" min="5" max="5"/>
    <col width="12" customWidth="1" min="6" max="6"/>
    <col width="15" customWidth="1" min="7" max="7"/>
    <col width="25" customWidth="1" min="8" max="8"/>
    <col width="18" customWidth="1" min="9" max="9"/>
    <col width="21" customWidth="1" min="10" max="10"/>
  </cols>
  <sheetData>
    <row r="1">
      <c r="A1" s="4" t="inlineStr">
        <is>
          <t>Edge_ID</t>
        </is>
      </c>
      <c r="B1" s="4" t="inlineStr">
        <is>
          <t>Layer</t>
        </is>
      </c>
      <c r="C1" s="4" t="inlineStr">
        <is>
          <t>From_Entity_ID</t>
        </is>
      </c>
      <c r="D1" s="4" t="inlineStr">
        <is>
          <t>From_Name</t>
        </is>
      </c>
      <c r="E1" s="4" t="inlineStr">
        <is>
          <t>To_Entity_ID</t>
        </is>
      </c>
      <c r="F1" s="4" t="inlineStr">
        <is>
          <t>To_Name</t>
        </is>
      </c>
      <c r="G1" s="4" t="inlineStr">
        <is>
          <t>Relation_Type</t>
        </is>
      </c>
      <c r="H1" s="4" t="inlineStr">
        <is>
          <t>Evidence_RecordItem_IDs</t>
        </is>
      </c>
      <c r="I1" s="4" t="inlineStr">
        <is>
          <t>Evidence_Summary</t>
        </is>
      </c>
      <c r="J1" s="4" t="inlineStr">
        <is>
          <t>Suggested_Next_Step</t>
        </is>
      </c>
    </row>
    <row r="2">
      <c r="A2" s="3" t="inlineStr">
        <is>
          <t>E00002</t>
        </is>
      </c>
      <c r="B2" s="3" t="inlineStr">
        <is>
          <t>ROA_SPINE</t>
        </is>
      </c>
      <c r="C2" s="3" t="inlineStr">
        <is>
          <t>DOC-ROA-TXT</t>
        </is>
      </c>
      <c r="D2" s="3" t="inlineStr">
        <is>
          <t>Record - Record on Appeal.txt</t>
        </is>
      </c>
      <c r="E2" s="3" t="inlineStr">
        <is>
          <t>ROA-TXT-5962</t>
        </is>
      </c>
      <c r="F2" s="3" t="inlineStr">
        <is>
          <t>Security deposit notice date line</t>
        </is>
      </c>
      <c r="G2" s="3" t="inlineStr">
        <is>
          <t>CONTAINS</t>
        </is>
      </c>
      <c r="H2" s="3" t="inlineStr">
        <is>
          <t>ROA-TXT-5962</t>
        </is>
      </c>
      <c r="I2" s="3" t="inlineStr">
        <is>
          <t>DATE: January 6th, 2018</t>
        </is>
      </c>
      <c r="J2" s="3" t="inlineStr">
        <is>
          <t>Find 8–20 word verbatim quote in ROA; add RecordItem + relink.</t>
        </is>
      </c>
    </row>
    <row r="3">
      <c r="A3" s="3" t="inlineStr">
        <is>
          <t>E00003</t>
        </is>
      </c>
      <c r="B3" s="3" t="inlineStr">
        <is>
          <t>ROA_SPINE</t>
        </is>
      </c>
      <c r="C3" s="3" t="inlineStr">
        <is>
          <t>DOC-ROA-TXT</t>
        </is>
      </c>
      <c r="D3" s="3" t="inlineStr">
        <is>
          <t>Record - Record on Appeal.txt</t>
        </is>
      </c>
      <c r="E3" s="3" t="inlineStr">
        <is>
          <t>ROA-TXT-1336</t>
        </is>
      </c>
      <c r="F3" s="3" t="inlineStr">
        <is>
          <t>Drimmer estimate label line</t>
        </is>
      </c>
      <c r="G3" s="3" t="inlineStr">
        <is>
          <t>CONTAINS</t>
        </is>
      </c>
      <c r="H3" s="3" t="inlineStr">
        <is>
          <t>ROA-TXT-1336</t>
        </is>
      </c>
      <c r="I3" s="3" t="inlineStr">
        <is>
          <t>ESTIMATE</t>
        </is>
      </c>
      <c r="J3" s="3" t="inlineStr">
        <is>
          <t>Find 8–20 word verbatim quote in ROA; add RecordItem + relink.</t>
        </is>
      </c>
    </row>
    <row r="4">
      <c r="A4" s="3" t="inlineStr">
        <is>
          <t>E00004</t>
        </is>
      </c>
      <c r="B4" s="3" t="inlineStr">
        <is>
          <t>ROA_SPINE</t>
        </is>
      </c>
      <c r="C4" s="3" t="inlineStr">
        <is>
          <t>DOC-ROA-TXT</t>
        </is>
      </c>
      <c r="D4" s="3" t="inlineStr">
        <is>
          <t>Record - Record on Appeal.txt</t>
        </is>
      </c>
      <c r="E4" s="3" t="inlineStr">
        <is>
          <t>ROA-TXT-17966</t>
        </is>
      </c>
      <c r="F4" s="3" t="inlineStr">
        <is>
          <t>Miami Mold payment detail lines (amount/method/invoice)</t>
        </is>
      </c>
      <c r="G4" s="3" t="inlineStr">
        <is>
          <t>CONTAINS</t>
        </is>
      </c>
      <c r="H4" s="3" t="inlineStr">
        <is>
          <t>ROA-TXT-17966</t>
        </is>
      </c>
      <c r="I4" s="3" t="inlineStr">
        <is>
          <t>pt for Payment Amount: $6,500,00 | f nns;ic1ion rmte: 01i2'1!201 a Mc1hod oi payncnt: Ca.sh | Payricnl ol Invoice #80623</t>
        </is>
      </c>
      <c r="J4" s="3" t="inlineStr">
        <is>
          <t>Find 8–20 word verbatim quote in ROA; add RecordItem + relink.</t>
        </is>
      </c>
    </row>
    <row r="5">
      <c r="A5" s="3" t="inlineStr">
        <is>
          <t>E00005</t>
        </is>
      </c>
      <c r="B5" s="3" t="inlineStr">
        <is>
          <t>ROA_SPINE</t>
        </is>
      </c>
      <c r="C5" s="3" t="inlineStr">
        <is>
          <t>DOC-ROA-TXT</t>
        </is>
      </c>
      <c r="D5" s="3" t="inlineStr">
        <is>
          <t>Record - Record on Appeal.txt</t>
        </is>
      </c>
      <c r="E5" s="3" t="inlineStr">
        <is>
          <t>ROA-TXT-16626</t>
        </is>
      </c>
      <c r="F5" s="3" t="inlineStr">
        <is>
          <t>Miami Mold June 3, 2019 letter re: proof of payment</t>
        </is>
      </c>
      <c r="G5" s="3" t="inlineStr">
        <is>
          <t>CONTAINS</t>
        </is>
      </c>
      <c r="H5" s="3" t="inlineStr">
        <is>
          <t>ROA-TXT-16626</t>
        </is>
      </c>
      <c r="I5" s="3" t="inlineStr">
        <is>
          <t>~o proof of payment exists of the S6.500.UO cash paymentthat Eli Cohen made tu Miami \fold LLC for mold remediation pcrfoHrn:d at his apartmc:nt located at: 1000 South Pointe Drive. Unit TI-f-/\5, Miami Beach, Fl, 33139 other than invoice #</t>
        </is>
      </c>
      <c r="J5" s="3" t="inlineStr">
        <is>
          <t>Find 8–20 word verbatim quote in ROA; add RecordItem + relink.</t>
        </is>
      </c>
    </row>
    <row r="6">
      <c r="A6" s="3" t="inlineStr">
        <is>
          <t>E00009</t>
        </is>
      </c>
      <c r="B6" s="3" t="inlineStr">
        <is>
          <t>EVIDENCE_ITEM</t>
        </is>
      </c>
      <c r="C6" s="3" t="inlineStr">
        <is>
          <t>ROA-TXT-5962</t>
        </is>
      </c>
      <c r="D6" s="3" t="inlineStr">
        <is>
          <t>Security deposit notice date line</t>
        </is>
      </c>
      <c r="E6" s="3" t="inlineStr">
        <is>
          <t>I-SECDEP</t>
        </is>
      </c>
      <c r="F6" s="3" t="inlineStr">
        <is>
          <t>§83.49 written notice compliance</t>
        </is>
      </c>
      <c r="G6" s="3" t="inlineStr">
        <is>
          <t>SUPPORTS_ISSUE</t>
        </is>
      </c>
      <c r="H6" s="3" t="inlineStr">
        <is>
          <t>ROA-TXT-5962</t>
        </is>
      </c>
      <c r="I6" s="3" t="inlineStr">
        <is>
          <t>DATE: January 6th, 2018</t>
        </is>
      </c>
      <c r="J6" s="3" t="inlineStr">
        <is>
          <t>Find 8–20 word verbatim quote in ROA; add RecordItem + relink.</t>
        </is>
      </c>
    </row>
    <row r="7">
      <c r="A7" s="3" t="inlineStr">
        <is>
          <t>E00010</t>
        </is>
      </c>
      <c r="B7" s="3" t="inlineStr">
        <is>
          <t>EVIDENCE_ITEM</t>
        </is>
      </c>
      <c r="C7" s="3" t="inlineStr">
        <is>
          <t>ROA-TXT-1336</t>
        </is>
      </c>
      <c r="D7" s="3" t="inlineStr">
        <is>
          <t>Drimmer estimate label line</t>
        </is>
      </c>
      <c r="E7" s="3" t="inlineStr">
        <is>
          <t>I-DAMAGES</t>
        </is>
      </c>
      <c r="F7" s="3" t="inlineStr">
        <is>
          <t>Damages proof / estimate vs payment / remediation invoices</t>
        </is>
      </c>
      <c r="G7" s="3" t="inlineStr">
        <is>
          <t>SUPPORTS_ISSUE</t>
        </is>
      </c>
      <c r="H7" s="3" t="inlineStr">
        <is>
          <t>ROA-TXT-1336</t>
        </is>
      </c>
      <c r="I7" s="3" t="inlineStr">
        <is>
          <t>ESTIMATE</t>
        </is>
      </c>
      <c r="J7" s="3" t="inlineStr">
        <is>
          <t>Find 8–20 word verbatim quote in ROA; add RecordItem + relink.</t>
        </is>
      </c>
    </row>
    <row r="8">
      <c r="A8" s="3" t="inlineStr">
        <is>
          <t>E00011</t>
        </is>
      </c>
      <c r="B8" s="3" t="inlineStr">
        <is>
          <t>EVIDENCE_ITEM</t>
        </is>
      </c>
      <c r="C8" s="3" t="inlineStr">
        <is>
          <t>ROA-TXT-17966</t>
        </is>
      </c>
      <c r="D8" s="3" t="inlineStr">
        <is>
          <t>Miami Mold payment detail lines (amount/method/invoice)</t>
        </is>
      </c>
      <c r="E8" s="3" t="inlineStr">
        <is>
          <t>I-DAMAGES</t>
        </is>
      </c>
      <c r="F8" s="3" t="inlineStr">
        <is>
          <t>Damages proof / estimate vs payment / remediation invoices</t>
        </is>
      </c>
      <c r="G8" s="3" t="inlineStr">
        <is>
          <t>SUPPORTS_ISSUE</t>
        </is>
      </c>
      <c r="H8" s="3" t="inlineStr">
        <is>
          <t>ROA-TXT-17966</t>
        </is>
      </c>
      <c r="I8" s="3" t="inlineStr">
        <is>
          <t>pt for Payment Amount: $6,500,00 | f nns;ic1ion rmte: 01i2'1!201 a Mc1hod oi payncnt: Ca.sh | Payricnl ol Invoice #80623</t>
        </is>
      </c>
      <c r="J8" s="3" t="inlineStr">
        <is>
          <t>Find 8–20 word verbatim quote in ROA; add RecordItem + relink.</t>
        </is>
      </c>
    </row>
    <row r="9">
      <c r="A9" s="3" t="inlineStr">
        <is>
          <t>E00012</t>
        </is>
      </c>
      <c r="B9" s="3" t="inlineStr">
        <is>
          <t>EVIDENCE_ITEM</t>
        </is>
      </c>
      <c r="C9" s="3" t="inlineStr">
        <is>
          <t>ROA-TXT-16626</t>
        </is>
      </c>
      <c r="D9" s="3" t="inlineStr">
        <is>
          <t>Miami Mold June 3, 2019 letter re: proof of payment</t>
        </is>
      </c>
      <c r="E9" s="3" t="inlineStr">
        <is>
          <t>I-DAMAGES</t>
        </is>
      </c>
      <c r="F9" s="3" t="inlineStr">
        <is>
          <t>Damages proof / estimate vs payment / remediation invoices</t>
        </is>
      </c>
      <c r="G9" s="3" t="inlineStr">
        <is>
          <t>SUPPORTS_ISSUE</t>
        </is>
      </c>
      <c r="H9" s="3" t="inlineStr">
        <is>
          <t>ROA-TXT-16626</t>
        </is>
      </c>
      <c r="I9" s="3" t="inlineStr">
        <is>
          <t>~o proof of payment exists of the S6.500.UO cash paymentthat Eli Cohen made tu Miami \fold LLC for mold remediation pcrfoHrn:d at his apartmc:nt located at: 1000 South Pointe Drive. Unit TI-f-/\5, Miami Beach, Fl, 33139 other than invoice #</t>
        </is>
      </c>
      <c r="J9" s="3" t="inlineStr">
        <is>
          <t>Find 8–20 word verbatim quote in ROA; add RecordItem + relink.</t>
        </is>
      </c>
    </row>
    <row r="10">
      <c r="A10" s="3" t="inlineStr">
        <is>
          <t>E00015</t>
        </is>
      </c>
      <c r="B10" s="3" t="inlineStr">
        <is>
          <t>EVIDENCE_ITEM</t>
        </is>
      </c>
      <c r="C10" s="3" t="inlineStr">
        <is>
          <t>AUTH-FL-VALCIN</t>
        </is>
      </c>
      <c r="D10" s="3" t="inlineStr">
        <is>
          <t>Valcin</t>
        </is>
      </c>
      <c r="E10" s="3" t="inlineStr">
        <is>
          <t>I-SPOLIATION</t>
        </is>
      </c>
      <c r="F10" s="3" t="inlineStr">
        <is>
          <t>Washer/dryer disposal; adverse inference</t>
        </is>
      </c>
      <c r="G10" s="3" t="inlineStr">
        <is>
          <t>SUPPORTS_ISSUE</t>
        </is>
      </c>
      <c r="H10" s="3" t="n"/>
      <c r="I10" s="3" t="inlineStr">
        <is>
          <t>[PROPOSITION_PENDING]</t>
        </is>
      </c>
      <c r="J10" s="3" t="inlineStr">
        <is>
          <t>Find 8–20 word verbatim quote in ROA; add RecordItem + relink.</t>
        </is>
      </c>
    </row>
    <row r="11">
      <c r="A11" s="3" t="inlineStr">
        <is>
          <t>E00018</t>
        </is>
      </c>
      <c r="B11" s="3" t="inlineStr">
        <is>
          <t>EVIDENCE_ITEM</t>
        </is>
      </c>
      <c r="C11" s="3" t="inlineStr">
        <is>
          <t>CLM-DAM-001</t>
        </is>
      </c>
      <c r="D11" s="3" t="inlineStr">
        <is>
          <t>Drimmer document is labeled ESTIMATE (not proof of payment).</t>
        </is>
      </c>
      <c r="E11" s="3" t="inlineStr">
        <is>
          <t>ROA-TXT-1336</t>
        </is>
      </c>
      <c r="F11" s="3" t="inlineStr">
        <is>
          <t>Drimmer estimate label line</t>
        </is>
      </c>
      <c r="G11" s="3" t="inlineStr">
        <is>
          <t>EVIDENCED_BY</t>
        </is>
      </c>
      <c r="H11" s="3" t="inlineStr">
        <is>
          <t>ROA-TXT-1336</t>
        </is>
      </c>
      <c r="I11" s="3" t="inlineStr">
        <is>
          <t>ESTIMATE</t>
        </is>
      </c>
      <c r="J11" s="3" t="inlineStr">
        <is>
          <t>Find 8–20 word verbatim quote in ROA; add RecordItem + relink.</t>
        </is>
      </c>
    </row>
    <row r="12">
      <c r="A12" s="3" t="inlineStr">
        <is>
          <t>E00020</t>
        </is>
      </c>
      <c r="B12" s="3" t="inlineStr">
        <is>
          <t>EVIDENCE_ITEM</t>
        </is>
      </c>
      <c r="C12" s="3" t="inlineStr">
        <is>
          <t>CLM-DAM-002</t>
        </is>
      </c>
      <c r="D12" s="3" t="inlineStr">
        <is>
          <t>Miami Mold materials contain both 'no proof of payment' language and a payment e</t>
        </is>
      </c>
      <c r="E12" s="3" t="inlineStr">
        <is>
          <t>ROA-TXT-16626</t>
        </is>
      </c>
      <c r="F12" s="3" t="inlineStr">
        <is>
          <t>Miami Mold June 3, 2019 letter re: proof of payment</t>
        </is>
      </c>
      <c r="G12" s="3" t="inlineStr">
        <is>
          <t>EVIDENCED_BY</t>
        </is>
      </c>
      <c r="H12" s="3" t="inlineStr">
        <is>
          <t>ROA-TXT-16626</t>
        </is>
      </c>
      <c r="I12" s="3" t="inlineStr">
        <is>
          <t>~o proof of payment exists of the S6.500.UO cash paymentthat Eli Cohen made tu Miami \fold LLC for mold remediation pcrfoHrn:d at his apartmc:nt located at: 1000 South Pointe Drive. Unit TI-f-/\5, Miami Beach, Fl, 33139 other than invoice #</t>
        </is>
      </c>
      <c r="J12" s="3" t="inlineStr">
        <is>
          <t>Find 8–20 word verbatim quote in ROA; add RecordItem + relink.</t>
        </is>
      </c>
    </row>
    <row r="13">
      <c r="A13" s="3" t="inlineStr">
        <is>
          <t>E00021</t>
        </is>
      </c>
      <c r="B13" s="3" t="inlineStr">
        <is>
          <t>EVIDENCE_ITEM</t>
        </is>
      </c>
      <c r="C13" s="3" t="inlineStr">
        <is>
          <t>CLM-DAM-002</t>
        </is>
      </c>
      <c r="D13" s="3" t="inlineStr">
        <is>
          <t>Miami Mold materials contain both 'no proof of payment' language and a payment e</t>
        </is>
      </c>
      <c r="E13" s="3" t="inlineStr">
        <is>
          <t>ROA-TXT-17966</t>
        </is>
      </c>
      <c r="F13" s="3" t="inlineStr">
        <is>
          <t>Miami Mold payment detail lines (amount/method/invoice)</t>
        </is>
      </c>
      <c r="G13" s="3" t="inlineStr">
        <is>
          <t>EVIDENCED_BY</t>
        </is>
      </c>
      <c r="H13" s="3" t="inlineStr">
        <is>
          <t>ROA-TXT-17966</t>
        </is>
      </c>
      <c r="I13" s="3" t="inlineStr">
        <is>
          <t>pt for Payment Amount: $6,500,00 | f nns;ic1ion rmte: 01i2'1!201 a Mc1hod oi payncnt: Ca.sh | Payricnl ol Invoice #80623</t>
        </is>
      </c>
      <c r="J13" s="3" t="inlineStr">
        <is>
          <t>Find 8–20 word verbatim quote in ROA; add RecordItem + relink.</t>
        </is>
      </c>
    </row>
    <row r="14">
      <c r="A14" s="3" t="inlineStr">
        <is>
          <t>E00026</t>
        </is>
      </c>
      <c r="B14" s="3" t="inlineStr">
        <is>
          <t>EVIDENCE_ITEM</t>
        </is>
      </c>
      <c r="C14" s="3" t="inlineStr">
        <is>
          <t>CLM-SPO-002</t>
        </is>
      </c>
      <c r="D14" s="3" t="inlineStr">
        <is>
          <t>Valcin adverse inference principle (proposition pending).</t>
        </is>
      </c>
      <c r="E14" s="3" t="inlineStr">
        <is>
          <t>AUTH-FL-VALCIN</t>
        </is>
      </c>
      <c r="F14" s="3" t="inlineStr">
        <is>
          <t>Valcin</t>
        </is>
      </c>
      <c r="G14" s="3" t="inlineStr">
        <is>
          <t>SUPPORTED_BY</t>
        </is>
      </c>
      <c r="H14" s="3" t="n"/>
      <c r="I14" s="3" t="inlineStr">
        <is>
          <t>[PROPOSITION_PENDING]</t>
        </is>
      </c>
      <c r="J14" s="3" t="inlineStr">
        <is>
          <t>Find 8–20 word verbatim quote in ROA; add RecordItem + relink.</t>
        </is>
      </c>
    </row>
    <row r="15">
      <c r="A15" s="3" t="inlineStr">
        <is>
          <t>E00028</t>
        </is>
      </c>
      <c r="B15" s="3" t="inlineStr">
        <is>
          <t>EVIDENCE_ITEM</t>
        </is>
      </c>
      <c r="C15" s="3" t="inlineStr">
        <is>
          <t>CON-001</t>
        </is>
      </c>
      <c r="D15" s="3" t="inlineStr">
        <is>
          <t>Miami Mold letter says 'no proof of payment exists' while payment detail shows c</t>
        </is>
      </c>
      <c r="E15" s="3" t="inlineStr">
        <is>
          <t>ROA-TXT-16626</t>
        </is>
      </c>
      <c r="F15" s="3" t="inlineStr">
        <is>
          <t>Miami Mold June 3, 2019 letter re: proof of payment</t>
        </is>
      </c>
      <c r="G15" s="3" t="inlineStr">
        <is>
          <t>INVOLVES</t>
        </is>
      </c>
      <c r="H15" s="3" t="inlineStr">
        <is>
          <t>ROA-TXT-16626</t>
        </is>
      </c>
      <c r="I15" s="3" t="inlineStr">
        <is>
          <t>~o proof of payment exists of the S6.500.UO cash paymentthat Eli Cohen made tu Miami \fold LLC for mold remediation pcrfoHrn:d at his apartmc:nt located at: 1000 South Pointe Drive. Unit TI-f-/\5, Miami Beach, Fl, 33139 other than invoice #</t>
        </is>
      </c>
      <c r="J15" s="3" t="inlineStr">
        <is>
          <t>Find 8–20 word verbatim quote in ROA; add RecordItem + relink.</t>
        </is>
      </c>
    </row>
    <row r="16">
      <c r="A16" s="3" t="inlineStr">
        <is>
          <t>E00029</t>
        </is>
      </c>
      <c r="B16" s="3" t="inlineStr">
        <is>
          <t>EVIDENCE_ITEM</t>
        </is>
      </c>
      <c r="C16" s="3" t="inlineStr">
        <is>
          <t>CON-001</t>
        </is>
      </c>
      <c r="D16" s="3" t="inlineStr">
        <is>
          <t>Miami Mold letter says 'no proof of payment exists' while payment detail shows c</t>
        </is>
      </c>
      <c r="E16" s="3" t="inlineStr">
        <is>
          <t>ROA-TXT-17966</t>
        </is>
      </c>
      <c r="F16" s="3" t="inlineStr">
        <is>
          <t>Miami Mold payment detail lines (amount/method/invoice)</t>
        </is>
      </c>
      <c r="G16" s="3" t="inlineStr">
        <is>
          <t>INVOLVES</t>
        </is>
      </c>
      <c r="H16" s="3" t="inlineStr">
        <is>
          <t>ROA-TXT-17966</t>
        </is>
      </c>
      <c r="I16" s="3" t="inlineStr">
        <is>
          <t>pt for Payment Amount: $6,500,00 | f nns;ic1ion rmte: 01i2'1!201 a Mc1hod oi payncnt: Ca.sh | Payricnl ol Invoice #80623</t>
        </is>
      </c>
      <c r="J16" s="3" t="inlineStr">
        <is>
          <t>Find 8–20 word verbatim quote in ROA; add RecordItem + relink.</t>
        </is>
      </c>
    </row>
    <row r="17">
      <c r="A17" s="3" t="inlineStr">
        <is>
          <t>E00037</t>
        </is>
      </c>
      <c r="B17" s="3" t="inlineStr">
        <is>
          <t>ROA_SPINE</t>
        </is>
      </c>
      <c r="C17" s="3" t="inlineStr">
        <is>
          <t>JEFF_ATLAS</t>
        </is>
      </c>
      <c r="D17" s="3" t="inlineStr">
        <is>
          <t>JEFF ATLAS</t>
        </is>
      </c>
      <c r="E17" s="3" t="inlineStr">
        <is>
          <t>2020-000746-CA-01</t>
        </is>
      </c>
      <c r="F17" s="3" t="inlineStr">
        <is>
          <t>2020-000746-CA-01</t>
        </is>
      </c>
      <c r="G17" s="3" t="inlineStr">
        <is>
          <t>DEFENDANT_IN</t>
        </is>
      </c>
      <c r="H17" s="3" t="n"/>
      <c r="I17" s="3" t="inlineStr">
        <is>
          <t>Defendant ATLAS, JEFF</t>
        </is>
      </c>
      <c r="J17" s="3" t="inlineStr">
        <is>
          <t>Find 8–20 word verbatim quote in ROA; add RecordItem + relink.</t>
        </is>
      </c>
    </row>
    <row r="18">
      <c r="A18" s="3" t="inlineStr">
        <is>
          <t>E00038</t>
        </is>
      </c>
      <c r="B18" s="3" t="inlineStr">
        <is>
          <t>ROA_SPINE</t>
        </is>
      </c>
      <c r="C18" s="3" t="inlineStr">
        <is>
          <t>SUSAN_ATLAS</t>
        </is>
      </c>
      <c r="D18" s="3" t="inlineStr">
        <is>
          <t>SUSAN ATLAS</t>
        </is>
      </c>
      <c r="E18" s="3" t="inlineStr">
        <is>
          <t>2020-000746-CA-01</t>
        </is>
      </c>
      <c r="F18" s="3" t="inlineStr">
        <is>
          <t>2020-000746-CA-01</t>
        </is>
      </c>
      <c r="G18" s="3" t="inlineStr">
        <is>
          <t>DEFENDANT_IN</t>
        </is>
      </c>
      <c r="H18" s="3" t="n"/>
      <c r="I18" s="3" t="inlineStr">
        <is>
          <t>Defendant ATLAS, SUSAN</t>
        </is>
      </c>
      <c r="J18" s="3" t="inlineStr">
        <is>
          <t>Find 8–20 word verbatim quote in ROA; add RecordItem + relink.</t>
        </is>
      </c>
    </row>
    <row r="19">
      <c r="A19" s="3" t="inlineStr">
        <is>
          <t>E00042</t>
        </is>
      </c>
      <c r="B19" s="3" t="inlineStr">
        <is>
          <t>ROA_SPINE</t>
        </is>
      </c>
      <c r="C19" s="3" t="inlineStr">
        <is>
          <t>David_B_Haber</t>
        </is>
      </c>
      <c r="D19" s="3" t="inlineStr">
        <is>
          <t>David B. Haber</t>
        </is>
      </c>
      <c r="E19" s="3" t="inlineStr">
        <is>
          <t>HABER_LAW_LLP</t>
        </is>
      </c>
      <c r="F19" s="3" t="inlineStr">
        <is>
          <t>HABER LAW, LLP</t>
        </is>
      </c>
      <c r="G19" s="3" t="inlineStr">
        <is>
          <t>PARTNER_AT</t>
        </is>
      </c>
      <c r="H19" s="3" t="n"/>
      <c r="I19" s="3" t="inlineStr">
        <is>
          <t>David Brian Haber: dhaber@haber.law</t>
        </is>
      </c>
      <c r="J19" s="3" t="inlineStr">
        <is>
          <t>Find 8–20 word verbatim quote in ROA; add RecordItem + relink.</t>
        </is>
      </c>
    </row>
    <row r="20">
      <c r="A20" s="3" t="inlineStr">
        <is>
          <t>E00043</t>
        </is>
      </c>
      <c r="B20" s="3" t="inlineStr">
        <is>
          <t>ROA_SPINE</t>
        </is>
      </c>
      <c r="C20" s="3" t="inlineStr">
        <is>
          <t>Thomas_Butler</t>
        </is>
      </c>
      <c r="D20" s="3" t="inlineStr">
        <is>
          <t>Thomas Butler</t>
        </is>
      </c>
      <c r="E20" s="3" t="inlineStr">
        <is>
          <t>JEFF_ATLAS</t>
        </is>
      </c>
      <c r="F20" s="3" t="inlineStr">
        <is>
          <t>JEFF ATLAS</t>
        </is>
      </c>
      <c r="G20" s="3" t="inlineStr">
        <is>
          <t>FORMER_COUNSEL_FOR</t>
        </is>
      </c>
      <c r="H20" s="3" t="n"/>
      <c r="I20" s="3" t="inlineStr">
        <is>
          <t>Defendant ATLAS, JEFF B#: 569178 Thomas Butler</t>
        </is>
      </c>
      <c r="J20" s="3" t="inlineStr">
        <is>
          <t>Find 8–20 word verbatim quote in ROA; add RecordItem + relink.</t>
        </is>
      </c>
    </row>
    <row r="21">
      <c r="A21" s="3" t="inlineStr">
        <is>
          <t>E00044</t>
        </is>
      </c>
      <c r="B21" s="3" t="inlineStr">
        <is>
          <t>ROA_SPINE</t>
        </is>
      </c>
      <c r="C21" s="3" t="inlineStr">
        <is>
          <t>Judge_Reemberto_Diaz</t>
        </is>
      </c>
      <c r="D21" s="3" t="inlineStr">
        <is>
          <t>Judge Reemberto Diaz</t>
        </is>
      </c>
      <c r="E21" s="3" t="inlineStr">
        <is>
          <t>2020-000746-CA-01</t>
        </is>
      </c>
      <c r="F21" s="3" t="inlineStr">
        <is>
          <t>2020-000746-CA-01</t>
        </is>
      </c>
      <c r="G21" s="3" t="inlineStr">
        <is>
          <t>PRESIDES_OVER</t>
        </is>
      </c>
      <c r="H21" s="3" t="n"/>
      <c r="I21" s="3" t="inlineStr">
        <is>
          <t>Judicial Section: CA30 - Downtown Miami - JudgeDiaz, Reemberto</t>
        </is>
      </c>
      <c r="J21" s="3" t="inlineStr">
        <is>
          <t>Find 8–20 word verbatim quote in ROA; add RecordItem + relink.</t>
        </is>
      </c>
    </row>
    <row r="22">
      <c r="A22" s="3" t="inlineStr">
        <is>
          <t>E00062</t>
        </is>
      </c>
      <c r="B22" s="3" t="inlineStr">
        <is>
          <t>ROA_SPINE</t>
        </is>
      </c>
      <c r="C22" s="3" t="inlineStr">
        <is>
          <t>E-WASH-01</t>
        </is>
      </c>
      <c r="D22" s="3" t="inlineStr">
        <is>
          <t>E-WASH-01</t>
        </is>
      </c>
      <c r="E22" s="3" t="inlineStr">
        <is>
          <t>I-MAINT</t>
        </is>
      </c>
      <c r="F22" s="3" t="inlineStr">
        <is>
          <t>I-MAINT</t>
        </is>
      </c>
      <c r="G22" s="3" t="inlineStr">
        <is>
          <t>SUPPORTS_ISSUE</t>
        </is>
      </c>
      <c r="H22" s="3" t="n"/>
      <c r="I22" s="3" t="inlineStr">
        <is>
          <t>Atlas purchased before lease [dated 2017]</t>
        </is>
      </c>
      <c r="J22" s="3" t="inlineStr">
        <is>
          <t>Find 8–20 word verbatim quote in ROA; add RecordItem + relink.</t>
        </is>
      </c>
    </row>
    <row r="23">
      <c r="A23" s="3" t="inlineStr">
        <is>
          <t>E00063</t>
        </is>
      </c>
      <c r="B23" s="3" t="inlineStr">
        <is>
          <t>ROA_SPINE</t>
        </is>
      </c>
      <c r="C23" s="3" t="inlineStr">
        <is>
          <t>E-CHW-01</t>
        </is>
      </c>
      <c r="D23" s="3" t="inlineStr">
        <is>
          <t>E-CHW-01</t>
        </is>
      </c>
      <c r="E23" s="3" t="inlineStr">
        <is>
          <t>I-MISREP</t>
        </is>
      </c>
      <c r="F23" s="3" t="inlineStr">
        <is>
          <t>I-MISREP</t>
        </is>
      </c>
      <c r="G23" s="3" t="inlineStr">
        <is>
          <t>SUPPORTS_ISSUE</t>
        </is>
      </c>
      <c r="H23" s="3" t="n"/>
      <c r="I23" s="3" t="inlineStr">
        <is>
          <t>Denials for pre-existing conditions [2018-2019]</t>
        </is>
      </c>
      <c r="J23" s="3" t="inlineStr">
        <is>
          <t>Find 8–20 word verbatim quote in ROA; add RecordItem + relink.</t>
        </is>
      </c>
    </row>
    <row r="24">
      <c r="A24" s="3" t="inlineStr">
        <is>
          <t>E00071</t>
        </is>
      </c>
      <c r="B24" s="3" t="inlineStr">
        <is>
          <t>ROA_SPINE</t>
        </is>
      </c>
      <c r="C24" s="3" t="inlineStr">
        <is>
          <t>05_18_2018</t>
        </is>
      </c>
      <c r="D24" s="3" t="inlineStr">
        <is>
          <t>05/18/2018</t>
        </is>
      </c>
      <c r="E24" s="3" t="inlineStr">
        <is>
          <t>2018-011311-CC-05</t>
        </is>
      </c>
      <c r="F24" s="3" t="inlineStr">
        <is>
          <t>2018-011311-CC-05</t>
        </is>
      </c>
      <c r="G24" s="3" t="inlineStr">
        <is>
          <t>FILED_ON</t>
        </is>
      </c>
      <c r="H24" s="3" t="n"/>
      <c r="I24" s="3" t="inlineStr">
        <is>
          <t>Filing Date: 05/18/2018</t>
        </is>
      </c>
      <c r="J24" s="3" t="inlineStr">
        <is>
          <t>Find 8–20 word verbatim quote in ROA; add RecordItem + relink.</t>
        </is>
      </c>
    </row>
    <row r="25">
      <c r="A25" s="3" t="inlineStr">
        <is>
          <t>E00074</t>
        </is>
      </c>
      <c r="B25" s="3" t="inlineStr">
        <is>
          <t>ROA_SPINE</t>
        </is>
      </c>
      <c r="C25" s="3" t="inlineStr">
        <is>
          <t>01_14_2020</t>
        </is>
      </c>
      <c r="D25" s="3" t="inlineStr">
        <is>
          <t>01/14/2020</t>
        </is>
      </c>
      <c r="E25" s="3" t="inlineStr">
        <is>
          <t>2020-000746-CA-01</t>
        </is>
      </c>
      <c r="F25" s="3" t="inlineStr">
        <is>
          <t>2020-000746-CA-01</t>
        </is>
      </c>
      <c r="G25" s="3" t="inlineStr">
        <is>
          <t>FILED_ON</t>
        </is>
      </c>
      <c r="H25" s="3" t="n"/>
      <c r="I25" s="3" t="inlineStr">
        <is>
          <t>Filing Date: 01/14/2020</t>
        </is>
      </c>
      <c r="J25" s="3" t="inlineStr">
        <is>
          <t>Find 8–20 word verbatim quote in ROA; add RecordItem + relink.</t>
        </is>
      </c>
    </row>
    <row r="26">
      <c r="A26" s="3" t="inlineStr">
        <is>
          <t>E00080</t>
        </is>
      </c>
      <c r="B26" s="3" t="inlineStr">
        <is>
          <t>MOTION_ASSERTION</t>
        </is>
      </c>
      <c r="C26" s="3" t="inlineStr">
        <is>
          <t>REPLY-A1</t>
        </is>
      </c>
      <c r="D26" s="3" t="inlineStr">
        <is>
          <t>REPLY-A1</t>
        </is>
      </c>
      <c r="E26" s="3" t="inlineStr">
        <is>
          <t>Fla_R_Civ_P_1510</t>
        </is>
      </c>
      <c r="F26" s="3" t="inlineStr">
        <is>
          <t>Fla. R. Civ. P. 1.510</t>
        </is>
      </c>
      <c r="G26" s="3" t="inlineStr">
        <is>
          <t>CITES_RULE</t>
        </is>
      </c>
      <c r="H26" s="3" t="n"/>
      <c r="I26" s="3" t="inlineStr">
        <is>
          <t>Plaintiff fails to meet their burden under Fla. R. Civ. P. 1.510. The revised federal-aligned standard requires specific, admissible evidence demonstrating a genuine dispute of material fact.</t>
        </is>
      </c>
      <c r="J26" s="3" t="inlineStr">
        <is>
          <t>Find 8–20 word verbatim quote in ROA; add RecordItem + relink.</t>
        </is>
      </c>
    </row>
    <row r="27">
      <c r="A27" s="3" t="inlineStr">
        <is>
          <t>E00087</t>
        </is>
      </c>
      <c r="B27" s="3" t="inlineStr">
        <is>
          <t>MOTION_ASSERTION</t>
        </is>
      </c>
      <c r="C27" s="3" t="inlineStr">
        <is>
          <t>REPLY-A8</t>
        </is>
      </c>
      <c r="D27" s="3" t="inlineStr">
        <is>
          <t>REPLY-A8</t>
        </is>
      </c>
      <c r="E27" s="3" t="inlineStr">
        <is>
          <t>I-DAMAGES</t>
        </is>
      </c>
      <c r="F27" s="3" t="inlineStr">
        <is>
          <t>Damages proof / estimate vs payment / remediation invoices</t>
        </is>
      </c>
      <c r="G27" s="3" t="inlineStr">
        <is>
          <t>ATTACKS</t>
        </is>
      </c>
      <c r="H27" s="3" t="n"/>
      <c r="I27" s="3" t="inlineStr">
        <is>
          <t>Plaintiff's allegations rely on nothing more than unpaid estimates for a washer dryer and unsupported invoices for the alleged remediation, offering no proof of actual payment.</t>
        </is>
      </c>
      <c r="J27" s="3" t="inlineStr">
        <is>
          <t>Find 8–20 word verbatim quote in ROA; add RecordItem + relink.</t>
        </is>
      </c>
    </row>
    <row r="28">
      <c r="A28" s="3" t="inlineStr">
        <is>
          <t>E00091</t>
        </is>
      </c>
      <c r="B28" s="3" t="inlineStr">
        <is>
          <t>MOTION_ASSERTION</t>
        </is>
      </c>
      <c r="C28" s="3" t="inlineStr">
        <is>
          <t>REPLY-A12</t>
        </is>
      </c>
      <c r="D28" s="3" t="inlineStr">
        <is>
          <t>REPLY-A12</t>
        </is>
      </c>
      <c r="E28" s="3" t="inlineStr">
        <is>
          <t>DIN-169</t>
        </is>
      </c>
      <c r="F28" s="3" t="inlineStr">
        <is>
          <t>CIR-169 / DIN 169</t>
        </is>
      </c>
      <c r="G28" s="3" t="inlineStr">
        <is>
          <t>PRECEDES</t>
        </is>
      </c>
      <c r="H28" s="3" t="n"/>
      <c r="I28" s="3" t="inlineStr">
        <is>
          <t>Having failed to provide competent evidence and having destroyed key evidence, Plaintiff cannot avoid summary judgment. As a matter of law, it must be granted.</t>
        </is>
      </c>
      <c r="J28" s="3" t="inlineStr">
        <is>
          <t>Find 8–20 word verbatim quote in ROA; add RecordItem + relink.</t>
        </is>
      </c>
    </row>
    <row r="29">
      <c r="A29" s="3" t="inlineStr">
        <is>
          <t>E00098</t>
        </is>
      </c>
      <c r="B29" s="3" t="inlineStr">
        <is>
          <t>MOTION_ASSERTION</t>
        </is>
      </c>
      <c r="C29" s="3" t="inlineStr">
        <is>
          <t>REPLY-A5</t>
        </is>
      </c>
      <c r="D29" s="3" t="inlineStr">
        <is>
          <t>REPLY-A5</t>
        </is>
      </c>
      <c r="E29" s="3" t="inlineStr">
        <is>
          <t>I-SPOLIATION</t>
        </is>
      </c>
      <c r="F29" s="3" t="inlineStr">
        <is>
          <t>Washer/dryer disposal; adverse inference</t>
        </is>
      </c>
      <c r="G29" s="3" t="inlineStr">
        <is>
          <t>SUPPORTS_ISSUE</t>
        </is>
      </c>
      <c r="H29" s="3" t="n"/>
      <c r="I29" s="3" t="inlineStr">
        <is>
          <t>Assertion anchored to Police Report #2019-00042552</t>
        </is>
      </c>
      <c r="J29" s="3" t="inlineStr">
        <is>
          <t>Find 8–20 word verbatim quote in ROA; add RecordItem + relink.</t>
        </is>
      </c>
    </row>
    <row r="30">
      <c r="A30" s="3" t="inlineStr">
        <is>
          <t>E00099</t>
        </is>
      </c>
      <c r="B30" s="3" t="inlineStr">
        <is>
          <t>MOTION_ASSERTION</t>
        </is>
      </c>
      <c r="C30" s="3" t="inlineStr">
        <is>
          <t>REPLY-A8</t>
        </is>
      </c>
      <c r="D30" s="3" t="inlineStr">
        <is>
          <t>REPLY-A8</t>
        </is>
      </c>
      <c r="E30" s="3" t="inlineStr">
        <is>
          <t>I-DAMAGES</t>
        </is>
      </c>
      <c r="F30" s="3" t="inlineStr">
        <is>
          <t>Damages proof / estimate vs payment / remediation invoices</t>
        </is>
      </c>
      <c r="G30" s="3" t="inlineStr">
        <is>
          <t>SUPPORTS_ISSUE</t>
        </is>
      </c>
      <c r="H30" s="3" t="n"/>
      <c r="I30" s="3" t="inlineStr">
        <is>
          <t>Assertion anchored to Miami Mold Ex. 11</t>
        </is>
      </c>
      <c r="J30" s="3" t="inlineStr">
        <is>
          <t>Find 8–20 word verbatim quote in ROA; add RecordItem + relink.</t>
        </is>
      </c>
    </row>
    <row r="31">
      <c r="A31" s="3" t="inlineStr">
        <is>
          <t>E00100</t>
        </is>
      </c>
      <c r="B31" s="3" t="inlineStr">
        <is>
          <t>MOTION_ASSERTION</t>
        </is>
      </c>
      <c r="C31" s="3" t="inlineStr">
        <is>
          <t>REPLY-A11</t>
        </is>
      </c>
      <c r="D31" s="3" t="inlineStr">
        <is>
          <t>REPLY-A11</t>
        </is>
      </c>
      <c r="E31" s="3" t="inlineStr">
        <is>
          <t>I-SECDEP</t>
        </is>
      </c>
      <c r="F31" s="3" t="inlineStr">
        <is>
          <t>§83.49 written notice compliance</t>
        </is>
      </c>
      <c r="G31" s="3" t="inlineStr">
        <is>
          <t>RELATES_TO_ISSUE</t>
        </is>
      </c>
      <c r="H31" s="3" t="n"/>
      <c r="I31" s="3" t="inlineStr">
        <is>
          <t>Assertion re: lack of required notice</t>
        </is>
      </c>
      <c r="J31" s="3" t="inlineStr">
        <is>
          <t>Find 8–20 word verbatim quote in ROA; add RecordItem + relink.</t>
        </is>
      </c>
    </row>
    <row r="32">
      <c r="A32" s="3" t="inlineStr">
        <is>
          <t>E00101</t>
        </is>
      </c>
      <c r="B32" s="3" t="inlineStr">
        <is>
          <t>MOTION_ASSERTION</t>
        </is>
      </c>
      <c r="C32" s="3" t="inlineStr">
        <is>
          <t>DIN-148</t>
        </is>
      </c>
      <c r="D32" s="3" t="inlineStr">
        <is>
          <t>CIR-148 / DIN 148</t>
        </is>
      </c>
      <c r="E32" s="3" t="inlineStr">
        <is>
          <t>2020-000746-CA-01</t>
        </is>
      </c>
      <c r="F32" s="3" t="inlineStr">
        <is>
          <t>2020-000746-CA-01</t>
        </is>
      </c>
      <c r="G32" s="3" t="inlineStr">
        <is>
          <t>FILED_IN</t>
        </is>
      </c>
      <c r="H32" s="3" t="n"/>
      <c r="I32" s="3" t="inlineStr">
        <is>
          <t>Record_Pages: 1036-1039</t>
        </is>
      </c>
      <c r="J32" s="3" t="inlineStr">
        <is>
          <t>Find 8–20 word verbatim quote in ROA; add RecordItem + relink.</t>
        </is>
      </c>
    </row>
    <row r="33">
      <c r="A33" s="3" t="inlineStr">
        <is>
          <t>E00102</t>
        </is>
      </c>
      <c r="B33" s="3" t="inlineStr">
        <is>
          <t>COURT_FINDING</t>
        </is>
      </c>
      <c r="C33" s="3" t="inlineStr">
        <is>
          <t>FOF-1</t>
        </is>
      </c>
      <c r="D33" s="3" t="inlineStr">
        <is>
          <t>FOF-1</t>
        </is>
      </c>
      <c r="E33" s="3" t="inlineStr">
        <is>
          <t>E-LEASE-01</t>
        </is>
      </c>
      <c r="F33" s="3" t="inlineStr">
        <is>
          <t>E-LEASE-01</t>
        </is>
      </c>
      <c r="G33" s="3" t="inlineStr">
        <is>
          <t>ESTABLISHES</t>
        </is>
      </c>
      <c r="H33" s="3" t="n"/>
      <c r="I33" s="3" t="inlineStr">
        <is>
          <t>Plaintiff, Eli Cohen ('Plaintiff'), and Defendants, Jeff Atlas and Susan Atlas ('Defendants'), entered into a written residential lease agreement (the 'Lease') commencing on December 22, 2017 and ending on December 21, 2018</t>
        </is>
      </c>
      <c r="J33" s="3" t="inlineStr">
        <is>
          <t>Find 8–20 word verbatim quote in ROA; add RecordItem + relink.</t>
        </is>
      </c>
    </row>
    <row r="34">
      <c r="A34" s="3" t="inlineStr">
        <is>
          <t>E00103</t>
        </is>
      </c>
      <c r="B34" s="3" t="inlineStr">
        <is>
          <t>COURT_FINDING</t>
        </is>
      </c>
      <c r="C34" s="3" t="inlineStr">
        <is>
          <t>FOF-2</t>
        </is>
      </c>
      <c r="D34" s="3" t="inlineStr">
        <is>
          <t>FOF-2</t>
        </is>
      </c>
      <c r="E34" s="3" t="inlineStr">
        <is>
          <t>E-LEASE-01</t>
        </is>
      </c>
      <c r="F34" s="3" t="inlineStr">
        <is>
          <t>E-LEASE-01</t>
        </is>
      </c>
      <c r="G34" s="3" t="inlineStr">
        <is>
          <t>ESTABLISHES</t>
        </is>
      </c>
      <c r="H34" s="3" t="n"/>
      <c r="I34" s="3" t="inlineStr">
        <is>
          <t>Section IX of the Lease allocates various maintenance responsibilities between Plaintiff as tenant and Defendants as landlords, and states that Plaintiff shall solely be responsible for maintaining three categories of items: (1) locks and keys; (2) furniture; and (3) heating and air conditioning filters.</t>
        </is>
      </c>
      <c r="J34" s="3" t="inlineStr">
        <is>
          <t>Find 8–20 word verbatim quote in ROA; add RecordItem + relink.</t>
        </is>
      </c>
    </row>
    <row r="35">
      <c r="A35" s="3" t="inlineStr">
        <is>
          <t>E00104</t>
        </is>
      </c>
      <c r="B35" s="3" t="inlineStr">
        <is>
          <t>COURT_FINDING</t>
        </is>
      </c>
      <c r="C35" s="3" t="inlineStr">
        <is>
          <t>FOF-3</t>
        </is>
      </c>
      <c r="D35" s="3" t="inlineStr">
        <is>
          <t>FOF-3</t>
        </is>
      </c>
      <c r="E35" s="3" t="inlineStr">
        <is>
          <t>I-MAINT</t>
        </is>
      </c>
      <c r="F35" s="3" t="inlineStr">
        <is>
          <t>I-MAINT</t>
        </is>
      </c>
      <c r="G35" s="3" t="inlineStr">
        <is>
          <t>ESTABLISHES</t>
        </is>
      </c>
      <c r="H35" s="3" t="n"/>
      <c r="I35" s="3" t="inlineStr">
        <is>
          <t>All other maintenance was to be performed by Defendants, including but not limited to, maintenance of running water, hot water, air conditioning, appliances, fixtures, and all 'major maintenance or major replacement of equipment', which is defined as repairs or replacements that cost more than $200.00.</t>
        </is>
      </c>
      <c r="J35" s="3" t="inlineStr">
        <is>
          <t>Find 8–20 word verbatim quote in ROA; add RecordItem + relink.</t>
        </is>
      </c>
    </row>
    <row r="36">
      <c r="A36" s="3" t="inlineStr">
        <is>
          <t>E00105</t>
        </is>
      </c>
      <c r="B36" s="3" t="inlineStr">
        <is>
          <t>COURT_FINDING</t>
        </is>
      </c>
      <c r="C36" s="3" t="inlineStr">
        <is>
          <t>FOF-13</t>
        </is>
      </c>
      <c r="D36" s="3" t="inlineStr">
        <is>
          <t>FOF-13</t>
        </is>
      </c>
      <c r="E36" s="3" t="inlineStr">
        <is>
          <t>I-DAMAGES</t>
        </is>
      </c>
      <c r="F36" s="3" t="inlineStr">
        <is>
          <t>Damages proof / estimate vs payment / remediation invoices</t>
        </is>
      </c>
      <c r="G36" s="3" t="inlineStr">
        <is>
          <t>ESTABLISHES</t>
        </is>
      </c>
      <c r="H36" s="3" t="n"/>
      <c r="I36" s="3" t="inlineStr">
        <is>
          <t>As a result of Defendants' failure to comply with their maintenance obligations under the Lease, Plaintiff was forced to pay $2,026.49 for replacement of the washer and dryer.</t>
        </is>
      </c>
      <c r="J36" s="3" t="inlineStr">
        <is>
          <t>Find 8–20 word verbatim quote in ROA; add RecordItem + relink.</t>
        </is>
      </c>
    </row>
    <row r="37">
      <c r="A37" s="3" t="inlineStr">
        <is>
          <t>E00106</t>
        </is>
      </c>
      <c r="B37" s="3" t="inlineStr">
        <is>
          <t>COURT_FINDING</t>
        </is>
      </c>
      <c r="C37" s="3" t="inlineStr">
        <is>
          <t>FOF-14</t>
        </is>
      </c>
      <c r="D37" s="3" t="inlineStr">
        <is>
          <t>FOF-14</t>
        </is>
      </c>
      <c r="E37" s="3" t="inlineStr">
        <is>
          <t>I-DAMAGES</t>
        </is>
      </c>
      <c r="F37" s="3" t="inlineStr">
        <is>
          <t>Damages proof / estimate vs payment / remediation invoices</t>
        </is>
      </c>
      <c r="G37" s="3" t="inlineStr">
        <is>
          <t>ESTABLISHES</t>
        </is>
      </c>
      <c r="H37" s="3" t="n"/>
      <c r="I37" s="3" t="inlineStr">
        <is>
          <t>Plaintiff was forced to retain Miami Mold, a mold remediation specialist, at a cost of $6,500 for professional mold inspection and remediation.</t>
        </is>
      </c>
      <c r="J37" s="3" t="inlineStr">
        <is>
          <t>Find 8–20 word verbatim quote in ROA; add RecordItem + relink.</t>
        </is>
      </c>
    </row>
    <row r="38">
      <c r="A38" s="3" t="inlineStr">
        <is>
          <t>E00108</t>
        </is>
      </c>
      <c r="B38" s="3" t="inlineStr">
        <is>
          <t>COURT_FINDING</t>
        </is>
      </c>
      <c r="C38" s="3" t="inlineStr">
        <is>
          <t>FOF-17</t>
        </is>
      </c>
      <c r="D38" s="3" t="inlineStr">
        <is>
          <t>FOF-17</t>
        </is>
      </c>
      <c r="E38" s="3" t="inlineStr">
        <is>
          <t>I-SECDEP</t>
        </is>
      </c>
      <c r="F38" s="3" t="inlineStr">
        <is>
          <t>§83.49 written notice compliance</t>
        </is>
      </c>
      <c r="G38" s="3" t="inlineStr">
        <is>
          <t>ESTABLISHES</t>
        </is>
      </c>
      <c r="H38" s="3" t="n"/>
      <c r="I38" s="3" t="inlineStr">
        <is>
          <t>At the conclusion of the Lease term, Plaintiff vacated the Unit and demanded return of his $4,200.00 security deposit.</t>
        </is>
      </c>
      <c r="J38" s="3" t="inlineStr">
        <is>
          <t>Find 8–20 word verbatim quote in ROA; add RecordItem + relink.</t>
        </is>
      </c>
    </row>
    <row r="39">
      <c r="A39" s="3" t="inlineStr">
        <is>
          <t>E00109</t>
        </is>
      </c>
      <c r="B39" s="3" t="inlineStr">
        <is>
          <t>COURT_FINDING</t>
        </is>
      </c>
      <c r="C39" s="3" t="inlineStr">
        <is>
          <t>FOF-18</t>
        </is>
      </c>
      <c r="D39" s="3" t="inlineStr">
        <is>
          <t>FOF-18</t>
        </is>
      </c>
      <c r="E39" s="3" t="inlineStr">
        <is>
          <t>I-SECDEP</t>
        </is>
      </c>
      <c r="F39" s="3" t="inlineStr">
        <is>
          <t>§83.49 written notice compliance</t>
        </is>
      </c>
      <c r="G39" s="3" t="inlineStr">
        <is>
          <t>ESTABLISHES</t>
        </is>
      </c>
      <c r="H39" s="3" t="n"/>
      <c r="I39" s="3" t="inlineStr">
        <is>
          <t>Defendants did not return the deposit and did not provide written notice of a claim against the deposit within the thirty (30) days as required by Section 83.49(3)(a), Florida Statutes.</t>
        </is>
      </c>
      <c r="J39" s="3" t="inlineStr">
        <is>
          <t>Find 8–20 word verbatim quote in ROA; add RecordItem + relink.</t>
        </is>
      </c>
    </row>
    <row r="40">
      <c r="A40" s="3" t="inlineStr">
        <is>
          <t>E00110</t>
        </is>
      </c>
      <c r="B40" s="3" t="inlineStr">
        <is>
          <t>COURT_FINDING</t>
        </is>
      </c>
      <c r="C40" s="3" t="inlineStr">
        <is>
          <t>FOF-19</t>
        </is>
      </c>
      <c r="D40" s="3" t="inlineStr">
        <is>
          <t>FOF-19</t>
        </is>
      </c>
      <c r="E40" s="3" t="inlineStr">
        <is>
          <t>I-SUMMARY</t>
        </is>
      </c>
      <c r="F40" s="3" t="inlineStr">
        <is>
          <t>I-SUMMARY</t>
        </is>
      </c>
      <c r="G40" s="3" t="inlineStr">
        <is>
          <t>ESTABLISHES</t>
        </is>
      </c>
      <c r="H40" s="3" t="n"/>
      <c r="I40" s="3" t="inlineStr">
        <is>
          <t>Defendants have presented no evidence to create a genuine issue of material fact regarding any of Plaintiff's claims, including breach of contract, negligent misrepresentation, or statutory violation of Section 83.48, Florida Statutes.</t>
        </is>
      </c>
      <c r="J40" s="3" t="inlineStr">
        <is>
          <t>Find 8–20 word verbatim quote in ROA; add RecordItem + relink.</t>
        </is>
      </c>
    </row>
    <row r="41">
      <c r="A41" s="3" t="inlineStr">
        <is>
          <t>E00111</t>
        </is>
      </c>
      <c r="B41" s="3" t="inlineStr">
        <is>
          <t>COURT_FINDING</t>
        </is>
      </c>
      <c r="C41" s="3" t="inlineStr">
        <is>
          <t>COL-COUNT1</t>
        </is>
      </c>
      <c r="D41" s="3" t="inlineStr">
        <is>
          <t>COL-COUNT1</t>
        </is>
      </c>
      <c r="E41" s="3" t="inlineStr">
        <is>
          <t>I-MAINT</t>
        </is>
      </c>
      <c r="F41" s="3" t="inlineStr">
        <is>
          <t>I-MAINT</t>
        </is>
      </c>
      <c r="G41" s="3" t="inlineStr">
        <is>
          <t>DECIDES</t>
        </is>
      </c>
      <c r="H41" s="3" t="n"/>
      <c r="I41" s="3" t="inlineStr">
        <is>
          <t>Defendants' failure to perform necessary repairs under the Lease constitutes a material breach of the Lease's express maintenance provisions. Plaintiff is the prevailing party on this claim and entitled to attorneys' fees and costs based upon the express language of the Lease.</t>
        </is>
      </c>
      <c r="J41" s="3" t="inlineStr">
        <is>
          <t>Find 8–20 word verbatim quote in ROA; add RecordItem + relink.</t>
        </is>
      </c>
    </row>
    <row r="42">
      <c r="A42" s="3" t="inlineStr">
        <is>
          <t>E00113</t>
        </is>
      </c>
      <c r="B42" s="3" t="inlineStr">
        <is>
          <t>COURT_FINDING</t>
        </is>
      </c>
      <c r="C42" s="3" t="inlineStr">
        <is>
          <t>COL-COUNT3</t>
        </is>
      </c>
      <c r="D42" s="3" t="inlineStr">
        <is>
          <t>COL-COUNT3</t>
        </is>
      </c>
      <c r="E42" s="3" t="inlineStr">
        <is>
          <t>I-SECDEP</t>
        </is>
      </c>
      <c r="F42" s="3" t="inlineStr">
        <is>
          <t>§83.49 written notice compliance</t>
        </is>
      </c>
      <c r="G42" s="3" t="inlineStr">
        <is>
          <t>DECIDES</t>
        </is>
      </c>
      <c r="H42" s="3" t="n"/>
      <c r="I42" s="3" t="inlineStr">
        <is>
          <t>Because Defendants failed to issue the required statutory notice, they forfeited any right to impose a claim against the security deposit. Accordingly, based on Defendants' noncompliance with Florida Statutes, Plaintiff is entitled to summary judgment on this claim, the immediate return of the full $4,200 security deposit, and entitled to an award of attorneys' fees and costs under Fla. Stat. § 83.48.</t>
        </is>
      </c>
      <c r="J42" s="3" t="inlineStr">
        <is>
          <t>Find 8–20 word verbatim quote in ROA; add RecordItem + relink.</t>
        </is>
      </c>
    </row>
    <row r="43">
      <c r="A43" s="3" t="inlineStr">
        <is>
          <t>E00114</t>
        </is>
      </c>
      <c r="B43" s="3" t="inlineStr">
        <is>
          <t>COURT_FINDING</t>
        </is>
      </c>
      <c r="C43" s="3" t="inlineStr">
        <is>
          <t>AD-1-REJECTED</t>
        </is>
      </c>
      <c r="D43" s="3" t="inlineStr">
        <is>
          <t>AD-1-REJECTED</t>
        </is>
      </c>
      <c r="E43" s="3" t="inlineStr">
        <is>
          <t>JEFF_ATLAS</t>
        </is>
      </c>
      <c r="F43" s="3" t="inlineStr">
        <is>
          <t>JEFF ATLAS</t>
        </is>
      </c>
      <c r="G43" s="3" t="inlineStr">
        <is>
          <t>REJECTS_DEFENSE</t>
        </is>
      </c>
      <c r="H43" s="3" t="n"/>
      <c r="I43" s="3" t="inlineStr">
        <is>
          <t>Defendants' claim that Plaintiff violated condominium rules concerning mold and water intrusion is inapplicable. Under the Lease, Defendants were responsible for maintaining the Unit.</t>
        </is>
      </c>
      <c r="J43" s="3" t="inlineStr">
        <is>
          <t>Find 8–20 word verbatim quote in ROA; add RecordItem + relink.</t>
        </is>
      </c>
    </row>
    <row r="44">
      <c r="A44" s="3" t="inlineStr">
        <is>
          <t>E00115</t>
        </is>
      </c>
      <c r="B44" s="3" t="inlineStr">
        <is>
          <t>COURT_FINDING</t>
        </is>
      </c>
      <c r="C44" s="3" t="inlineStr">
        <is>
          <t>AD-2-REJECTED</t>
        </is>
      </c>
      <c r="D44" s="3" t="inlineStr">
        <is>
          <t>AD-2-REJECTED</t>
        </is>
      </c>
      <c r="E44" s="3" t="inlineStr">
        <is>
          <t>JEFF_ATLAS</t>
        </is>
      </c>
      <c r="F44" s="3" t="inlineStr">
        <is>
          <t>JEFF ATLAS</t>
        </is>
      </c>
      <c r="G44" s="3" t="inlineStr">
        <is>
          <t>REJECTS_DEFENSE</t>
        </is>
      </c>
      <c r="H44" s="3" t="n"/>
      <c r="I44" s="3" t="inlineStr">
        <is>
          <t>The record reflects that Plaintiff made multiple efforts to have Defendants repair the Unit. Plaintiff only engaged third-party contractors when Defendants failed to act. There is no evidence to support the defense that Plaintiff failed to mitigate damages.</t>
        </is>
      </c>
      <c r="J44" s="3" t="inlineStr">
        <is>
          <t>Find 8–20 word verbatim quote in ROA; add RecordItem + relink.</t>
        </is>
      </c>
    </row>
    <row r="45">
      <c r="A45" s="3" t="inlineStr">
        <is>
          <t>E00116</t>
        </is>
      </c>
      <c r="B45" s="3" t="inlineStr">
        <is>
          <t>COURT_FINDING</t>
        </is>
      </c>
      <c r="C45" s="3" t="inlineStr">
        <is>
          <t>AD-3-REJECTED</t>
        </is>
      </c>
      <c r="D45" s="3" t="inlineStr">
        <is>
          <t>AD-3-REJECTED</t>
        </is>
      </c>
      <c r="E45" s="3" t="inlineStr">
        <is>
          <t>JEFF_ATLAS</t>
        </is>
      </c>
      <c r="F45" s="3" t="inlineStr">
        <is>
          <t>JEFF ATLAS</t>
        </is>
      </c>
      <c r="G45" s="3" t="inlineStr">
        <is>
          <t>REJECTS_DEFENSE</t>
        </is>
      </c>
      <c r="H45" s="3" t="n"/>
      <c r="I45" s="3" t="inlineStr">
        <is>
          <t>Defendants have failed to articulate or present evidence to support any basis for set-off. Plaintiff does not owe Defendants any debt or obligation.</t>
        </is>
      </c>
      <c r="J45" s="3" t="inlineStr">
        <is>
          <t>Find 8–20 word verbatim quote in ROA; add RecordItem + relink.</t>
        </is>
      </c>
    </row>
    <row r="46">
      <c r="A46" s="3" t="inlineStr">
        <is>
          <t>E00117</t>
        </is>
      </c>
      <c r="B46" s="3" t="inlineStr">
        <is>
          <t>COURT_FINDING</t>
        </is>
      </c>
      <c r="C46" s="3" t="inlineStr">
        <is>
          <t>AD-4-REJECTED</t>
        </is>
      </c>
      <c r="D46" s="3" t="inlineStr">
        <is>
          <t>AD-4-REJECTED</t>
        </is>
      </c>
      <c r="E46" s="3" t="inlineStr">
        <is>
          <t>I-SPOLIATION</t>
        </is>
      </c>
      <c r="F46" s="3" t="inlineStr">
        <is>
          <t>Washer/dryer disposal; adverse inference</t>
        </is>
      </c>
      <c r="G46" s="3" t="inlineStr">
        <is>
          <t>REJECTS_DEFENSE</t>
        </is>
      </c>
      <c r="H46" s="3" t="n"/>
      <c r="I46" s="3" t="inlineStr">
        <is>
          <t>There is no evidence that Plaintiff destroyed or withheld any relevant evidence. Defendants were in possession of the Unit during the entirety of the Lease and for years after Plaintiff's tenancy and had ample opportunity to inspect and document the condition of the Unit as well as the washer and dryer at issue. Moreover, the Court finds that the current condition of the appliances and the apartment have no bearing on the condition of the appliances and the apartment at the time of the issues surrounding this case.</t>
        </is>
      </c>
      <c r="J46" s="3" t="inlineStr">
        <is>
          <t>Find 8–20 word verbatim quote in ROA; add RecordItem + relink.</t>
        </is>
      </c>
    </row>
    <row r="47">
      <c r="A47" s="3" t="inlineStr">
        <is>
          <t>E00118</t>
        </is>
      </c>
      <c r="B47" s="3" t="inlineStr">
        <is>
          <t>COURT_FINDING</t>
        </is>
      </c>
      <c r="C47" s="3" t="inlineStr">
        <is>
          <t>AD-5-REJECTED</t>
        </is>
      </c>
      <c r="D47" s="3" t="inlineStr">
        <is>
          <t>AD-5-REJECTED</t>
        </is>
      </c>
      <c r="E47" s="3" t="inlineStr">
        <is>
          <t>JEFF_ATLAS</t>
        </is>
      </c>
      <c r="F47" s="3" t="inlineStr">
        <is>
          <t>JEFF ATLAS</t>
        </is>
      </c>
      <c r="G47" s="3" t="inlineStr">
        <is>
          <t>REJECTS_DEFENSE</t>
        </is>
      </c>
      <c r="H47" s="3" t="n"/>
      <c r="I47" s="3" t="inlineStr">
        <is>
          <t>Plaintiff has stated valid claims for Breach of Contract, Negligent Misrepresentation, and violation of Fla. Stat. § 83.49. The pleadings and record evidence support each element of the claims. Defendants have not submitted any evidence whatsoever to refute Plaintiff's claims or oppose this summary judgment.</t>
        </is>
      </c>
      <c r="J47" s="3" t="inlineStr">
        <is>
          <t>Find 8–20 word verbatim quote in ROA; add RecordItem + relink.</t>
        </is>
      </c>
    </row>
    <row r="48">
      <c r="A48" s="3" t="inlineStr">
        <is>
          <t>E00119</t>
        </is>
      </c>
      <c r="B48" s="3" t="inlineStr">
        <is>
          <t>COURT_FINDING</t>
        </is>
      </c>
      <c r="C48" s="3" t="inlineStr">
        <is>
          <t>AD-6-REJECTED</t>
        </is>
      </c>
      <c r="D48" s="3" t="inlineStr">
        <is>
          <t>AD-6-REJECTED</t>
        </is>
      </c>
      <c r="E48" s="3" t="inlineStr">
        <is>
          <t>JEFF_ATLAS</t>
        </is>
      </c>
      <c r="F48" s="3" t="inlineStr">
        <is>
          <t>JEFF ATLAS</t>
        </is>
      </c>
      <c r="G48" s="3" t="inlineStr">
        <is>
          <t>REJECTS_DEFENSE</t>
        </is>
      </c>
      <c r="H48" s="3" t="n"/>
      <c r="I48" s="3" t="inlineStr">
        <is>
          <t>Defendants argue that Plaintiff performed work on the Unit without their consent. However, the evidence shows that Defendants unreasonably refused to perform necessary repairs and acted in bad faith. Plaintiff was compelled to undertake the repairs to preserve the Unit.</t>
        </is>
      </c>
      <c r="J48" s="3" t="inlineStr">
        <is>
          <t>Find 8–20 word verbatim quote in ROA; add RecordItem + relink.</t>
        </is>
      </c>
    </row>
    <row r="49">
      <c r="A49" s="3" t="inlineStr">
        <is>
          <t>E00120</t>
        </is>
      </c>
      <c r="B49" s="3" t="inlineStr">
        <is>
          <t>COURT_FINDING</t>
        </is>
      </c>
      <c r="C49" s="3" t="inlineStr">
        <is>
          <t>AD-7-REJECTED</t>
        </is>
      </c>
      <c r="D49" s="3" t="inlineStr">
        <is>
          <t>AD-7-REJECTED</t>
        </is>
      </c>
      <c r="E49" s="3" t="inlineStr">
        <is>
          <t>JEFF_ATLAS</t>
        </is>
      </c>
      <c r="F49" s="3" t="inlineStr">
        <is>
          <t>JEFF ATLAS</t>
        </is>
      </c>
      <c r="G49" s="3" t="inlineStr">
        <is>
          <t>REJECTS_DEFENSE</t>
        </is>
      </c>
      <c r="H49" s="3" t="n"/>
      <c r="I49" s="3" t="inlineStr">
        <is>
          <t>Arguments previously raised in a motion to dismiss and denied by the Court do not constitute a viable affirmative defense. This defense fails as a matter of law.</t>
        </is>
      </c>
      <c r="J49" s="3" t="inlineStr">
        <is>
          <t>Find 8–20 word verbatim quote in ROA; add RecordItem + relink.</t>
        </is>
      </c>
    </row>
    <row r="50">
      <c r="A50" s="3" t="inlineStr">
        <is>
          <t>E00123</t>
        </is>
      </c>
      <c r="B50" s="3" t="inlineStr">
        <is>
          <t>COURT_FINDING</t>
        </is>
      </c>
      <c r="C50" s="3" t="inlineStr">
        <is>
          <t>ORDER-3</t>
        </is>
      </c>
      <c r="D50" s="3" t="inlineStr">
        <is>
          <t>ORDER-3</t>
        </is>
      </c>
      <c r="E50" s="3" t="inlineStr">
        <is>
          <t>I-SECDEP</t>
        </is>
      </c>
      <c r="F50" s="3" t="inlineStr">
        <is>
          <t>§83.49 written notice compliance</t>
        </is>
      </c>
      <c r="G50" s="3" t="inlineStr">
        <is>
          <t>AWARDS</t>
        </is>
      </c>
      <c r="H50" s="3" t="n"/>
      <c r="I50" s="3" t="inlineStr">
        <is>
          <t>The Court finds that Plaintiff is entitled to attorneys' fees and costs under both the Lease terms and by statute under Fla. Stat. § 83.48.</t>
        </is>
      </c>
      <c r="J50" s="3" t="inlineStr">
        <is>
          <t>Find 8–20 word verbatim quote in ROA; add RecordItem + relink.</t>
        </is>
      </c>
    </row>
    <row r="51">
      <c r="A51" s="3" t="inlineStr">
        <is>
          <t>E00126</t>
        </is>
      </c>
      <c r="B51" s="3" t="inlineStr">
        <is>
          <t>COURT_FINDING</t>
        </is>
      </c>
      <c r="C51" s="3" t="inlineStr">
        <is>
          <t>Coral_Gables_Distribution_Inc_v_Milich_992_So_2d_302_Fla_3d_DCA_2008</t>
        </is>
      </c>
      <c r="D51" s="3" t="inlineStr">
        <is>
          <t>Coral Gables Distribution, Inc. v. Milich, 992 So. 2d 302 (Fla. 3d DCA 2008)</t>
        </is>
      </c>
      <c r="E51" s="3" t="inlineStr">
        <is>
          <t>COL-COUNT2</t>
        </is>
      </c>
      <c r="F51" s="3" t="inlineStr">
        <is>
          <t>COL-COUNT2</t>
        </is>
      </c>
      <c r="G51" s="3" t="inlineStr">
        <is>
          <t>CITED_FOR</t>
        </is>
      </c>
      <c r="H51" s="3" t="n"/>
      <c r="I51" s="3" t="inlineStr">
        <is>
          <t>To prove negligent misrepresentation, it must be shown that (1) there was a misrepresentation of material fact; (2) the representer either knew of the misrepresentation...</t>
        </is>
      </c>
      <c r="J51" s="3" t="inlineStr">
        <is>
          <t>Find 8–20 word verbatim quote in ROA; add RecordItem + relink.</t>
        </is>
      </c>
    </row>
    <row r="52">
      <c r="A52" s="3" t="inlineStr">
        <is>
          <t>E00127</t>
        </is>
      </c>
      <c r="B52" s="3" t="inlineStr">
        <is>
          <t>COURT_FINDING</t>
        </is>
      </c>
      <c r="C52" s="3" t="inlineStr">
        <is>
          <t>Fla_Stat_83493</t>
        </is>
      </c>
      <c r="D52" s="3" t="inlineStr">
        <is>
          <t>Fla. Stat. § 83.49(3)</t>
        </is>
      </c>
      <c r="E52" s="3" t="inlineStr">
        <is>
          <t>COL-COUNT3</t>
        </is>
      </c>
      <c r="F52" s="3" t="inlineStr">
        <is>
          <t>COL-COUNT3</t>
        </is>
      </c>
      <c r="G52" s="3" t="inlineStr">
        <is>
          <t>CITED_FOR</t>
        </is>
      </c>
      <c r="H52" s="3" t="n"/>
      <c r="I52" s="3" t="inlineStr">
        <is>
          <t>Upon the vacating of the premises for termination of the lease, if the landlord does not intend to impose a claim on the security deposit, the landlord shall have 15 days to return the security deposit together with interest...</t>
        </is>
      </c>
      <c r="J52" s="3" t="inlineStr">
        <is>
          <t>Find 8–20 word verbatim quote in ROA; add RecordItem + relink.</t>
        </is>
      </c>
    </row>
    <row r="53">
      <c r="A53" s="3" t="inlineStr">
        <is>
          <t>E00129</t>
        </is>
      </c>
      <c r="B53" s="3" t="inlineStr">
        <is>
          <t>COURT_FINDING</t>
        </is>
      </c>
      <c r="C53" s="3" t="inlineStr">
        <is>
          <t>Martinez_v_Rds_Point_Townhomes_Inc_393_So_3d_755_Fla_3d_DCA_2024</t>
        </is>
      </c>
      <c r="D53" s="3" t="inlineStr">
        <is>
          <t>Martinez v. Rds. Point Townhomes, Inc., 393 So. 3d 755 (Fla. 3d DCA 2024)</t>
        </is>
      </c>
      <c r="E53" s="3" t="inlineStr">
        <is>
          <t>COL-COUNT3</t>
        </is>
      </c>
      <c r="F53" s="3" t="inlineStr">
        <is>
          <t>COL-COUNT3</t>
        </is>
      </c>
      <c r="G53" s="3" t="inlineStr">
        <is>
          <t>CITED_FOR</t>
        </is>
      </c>
      <c r="H53" s="3" t="n"/>
      <c r="I53" s="3" t="inlineStr">
        <is>
          <t>the Third District reaffirmed that a landlord's failure to give notice within the required 30-day window bars any claim to the security deposit</t>
        </is>
      </c>
      <c r="J53" s="3" t="inlineStr">
        <is>
          <t>Find 8–20 word verbatim quote in ROA; add RecordItem + relink.</t>
        </is>
      </c>
    </row>
    <row r="54">
      <c r="A54" s="3" t="inlineStr">
        <is>
          <t>E00130</t>
        </is>
      </c>
      <c r="B54" s="3" t="inlineStr">
        <is>
          <t>COURT_FINDING</t>
        </is>
      </c>
      <c r="C54" s="3" t="inlineStr">
        <is>
          <t>CONTRADICTION-SECDEP</t>
        </is>
      </c>
      <c r="D54" s="3" t="inlineStr">
        <is>
          <t>CONTRADICTION-SECDEP</t>
        </is>
      </c>
      <c r="E54" s="3" t="inlineStr">
        <is>
          <t>FOF-18</t>
        </is>
      </c>
      <c r="F54" s="3" t="inlineStr">
        <is>
          <t>FOF-18</t>
        </is>
      </c>
      <c r="G54" s="3" t="inlineStr">
        <is>
          <t>CONTRADICTS</t>
        </is>
      </c>
      <c r="H54" s="3" t="n"/>
      <c r="I54" s="3" t="inlineStr">
        <is>
          <t>SFJ FOF-18: 'Defendants did not return the deposit and did not provide written notice of a claim against the deposit within the thirty (30) days' BUT E-SEC-01 'Notice of Intention to Impose Claim on Deposit' dated 01/06/2018 exists in record</t>
        </is>
      </c>
      <c r="J54" s="3" t="inlineStr">
        <is>
          <t>Find 8–20 word verbatim quote in ROA; add RecordItem + relink.</t>
        </is>
      </c>
    </row>
    <row r="55">
      <c r="A55" s="3" t="inlineStr">
        <is>
          <t>E00131</t>
        </is>
      </c>
      <c r="B55" s="3" t="inlineStr">
        <is>
          <t>COURT_FINDING</t>
        </is>
      </c>
      <c r="C55" s="3" t="inlineStr">
        <is>
          <t>DIN-169</t>
        </is>
      </c>
      <c r="D55" s="3" t="inlineStr">
        <is>
          <t>CIR-169 / DIN 169</t>
        </is>
      </c>
      <c r="E55" s="3" t="inlineStr">
        <is>
          <t>2020-000746-CA-01</t>
        </is>
      </c>
      <c r="F55" s="3" t="inlineStr">
        <is>
          <t>2020-000746-CA-01</t>
        </is>
      </c>
      <c r="G55" s="3" t="inlineStr">
        <is>
          <t>JUDGMENT_IN</t>
        </is>
      </c>
      <c r="H55" s="3" t="n"/>
      <c r="I55" s="3" t="inlineStr">
        <is>
          <t>Record_Pages: 1341-1354</t>
        </is>
      </c>
      <c r="J55" s="3" t="inlineStr">
        <is>
          <t>Find 8–20 word verbatim quote in ROA; add RecordItem + relink.</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5" customWidth="1" min="1" max="1"/>
    <col width="55" customWidth="1" min="2" max="2"/>
    <col width="20" customWidth="1" min="3" max="3"/>
    <col width="20" customWidth="1" min="4" max="4"/>
    <col width="20" customWidth="1" min="5" max="5"/>
    <col width="55" customWidth="1" min="6" max="6"/>
    <col width="55" customWidth="1" min="7" max="7"/>
    <col width="12" customWidth="1" min="8" max="8"/>
  </cols>
  <sheetData>
    <row r="1">
      <c r="A1" s="4" t="inlineStr">
        <is>
          <t>RecordItem_ID</t>
        </is>
      </c>
      <c r="B1" s="4" t="inlineStr">
        <is>
          <t>Description</t>
        </is>
      </c>
      <c r="C1" s="4" t="inlineStr">
        <is>
          <t>Evidence_Class</t>
        </is>
      </c>
      <c r="D1" s="4" t="inlineStr">
        <is>
          <t>Requires_Ingestion</t>
        </is>
      </c>
      <c r="E1" s="4" t="inlineStr">
        <is>
          <t>Source_Location</t>
        </is>
      </c>
      <c r="F1" s="4" t="inlineStr">
        <is>
          <t>Tags</t>
        </is>
      </c>
      <c r="G1" s="4" t="inlineStr">
        <is>
          <t>Suggested_Action</t>
        </is>
      </c>
      <c r="H1" s="4" t="inlineStr">
        <is>
          <t>Priority</t>
        </is>
      </c>
    </row>
    <row r="2">
      <c r="A2" s="3" t="inlineStr">
        <is>
          <t>ROA-TXT-18011</t>
        </is>
      </c>
      <c r="B2" s="3" t="inlineStr">
        <is>
          <t>Defendants' Reply assertion re police report disposal</t>
        </is>
      </c>
      <c r="C2" s="3" t="inlineStr">
        <is>
          <t>Evidence_Reference</t>
        </is>
      </c>
      <c r="D2" s="3" t="inlineStr">
        <is>
          <t>YES</t>
        </is>
      </c>
      <c r="E2" s="3" t="inlineStr">
        <is>
          <t>DOC-ROA-TXT@L18011</t>
        </is>
      </c>
      <c r="F2" s="3" t="inlineStr">
        <is>
          <t>spoliation;police report;2019-00042552;motion assertion</t>
        </is>
      </c>
      <c r="G2" s="3" t="inlineStr">
        <is>
          <t>Ingest underlying exhibit text/pages; then convert to Evidence_Item and add quote-verbatim anchor.</t>
        </is>
      </c>
      <c r="H2" s="3" t="inlineStr">
        <is>
          <t>P1</t>
        </is>
      </c>
    </row>
    <row r="3">
      <c r="A3" s="3" t="inlineStr">
        <is>
          <t>ROA-TXT-18017</t>
        </is>
      </c>
      <c r="B3" s="3" t="inlineStr">
        <is>
          <t>Defendants' Reply reliance on Valcin for adverse inference</t>
        </is>
      </c>
      <c r="C3" s="3" t="inlineStr">
        <is>
          <t>Evidence_Reference</t>
        </is>
      </c>
      <c r="D3" s="3" t="inlineStr">
        <is>
          <t>YES</t>
        </is>
      </c>
      <c r="E3" s="3" t="inlineStr">
        <is>
          <t>DOC-ROA-TXT@L18017</t>
        </is>
      </c>
      <c r="F3" s="3" t="inlineStr">
        <is>
          <t>spoliation;Valcin;adverse inference;motion assertion</t>
        </is>
      </c>
      <c r="G3" s="3" t="inlineStr">
        <is>
          <t>Ingest underlying exhibit text/pages; then convert to Evidence_Item and add quote-verbatim anchor.</t>
        </is>
      </c>
      <c r="H3" s="3" t="inlineStr">
        <is>
          <t>P1</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20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5" customWidth="1" min="3" max="3"/>
    <col width="12" customWidth="1" min="4" max="4"/>
    <col width="24" customWidth="1" min="5" max="5"/>
    <col width="23" customWidth="1" min="6" max="6"/>
    <col width="25" customWidth="1" min="7" max="7"/>
    <col width="12" customWidth="1" min="8" max="8"/>
    <col width="17" customWidth="1" min="9" max="9"/>
    <col width="12" customWidth="1" min="10" max="10"/>
    <col width="12" customWidth="1" min="11" max="11"/>
  </cols>
  <sheetData>
    <row r="1">
      <c r="A1" s="4" t="inlineStr">
        <is>
          <t>From_Entity_ID</t>
        </is>
      </c>
      <c r="B1" s="4" t="inlineStr">
        <is>
          <t>To_Entity_ID</t>
        </is>
      </c>
      <c r="C1" s="4" t="inlineStr">
        <is>
          <t>Relation_Type</t>
        </is>
      </c>
      <c r="D1" s="4" t="inlineStr">
        <is>
          <t>Layer</t>
        </is>
      </c>
      <c r="E1" s="4" t="inlineStr">
        <is>
          <t>Evidence_RecordItem_ID</t>
        </is>
      </c>
      <c r="F1" s="4" t="inlineStr">
        <is>
          <t>Evidence_Authority_ID</t>
        </is>
      </c>
      <c r="G1" s="4" t="inlineStr">
        <is>
          <t>Evidence_Quote_Verbatim</t>
        </is>
      </c>
      <c r="H1" s="4" t="inlineStr">
        <is>
          <t>Quote_WC</t>
        </is>
      </c>
      <c r="I1" s="4" t="inlineStr">
        <is>
          <t>Quote_Compliant</t>
        </is>
      </c>
      <c r="J1" s="4" t="inlineStr">
        <is>
          <t>Notes</t>
        </is>
      </c>
      <c r="K1" s="4" t="inlineStr">
        <is>
          <t>Action</t>
        </is>
      </c>
    </row>
    <row r="2">
      <c r="A2" s="3" t="inlineStr"/>
      <c r="B2" s="3" t="inlineStr"/>
      <c r="C2" s="3" t="inlineStr"/>
      <c r="D2" s="3" t="inlineStr"/>
      <c r="E2" s="3" t="inlineStr"/>
      <c r="F2" s="3" t="inlineStr"/>
      <c r="G2" s="3">
        <f>IF($E2="","",VLOOKUP($E2,RECORD_ITEMS!$A:$T,6,FALSE))</f>
        <v/>
      </c>
      <c r="H2" s="3">
        <f>IF($G2="","",LEN(TRIM($G2))-LEN(SUBSTITUTE(TRIM($G2)," ",""))+1)</f>
        <v/>
      </c>
      <c r="I2" s="3">
        <f>IF($H2="","",IF(AND($H2&gt;=8,$H2&lt;=20),"YES","NO"))</f>
        <v/>
      </c>
      <c r="J2" s="3" t="inlineStr"/>
      <c r="K2" s="3">
        <f>IF($A2="","",IF($I2="YES","READY_TO_COPY","UPGRADE_ANCHOR"))</f>
        <v/>
      </c>
    </row>
    <row r="3">
      <c r="A3" s="3" t="inlineStr"/>
      <c r="B3" s="3" t="inlineStr"/>
      <c r="C3" s="3" t="inlineStr"/>
      <c r="D3" s="3" t="inlineStr"/>
      <c r="E3" s="3" t="inlineStr"/>
      <c r="F3" s="3" t="inlineStr"/>
      <c r="G3" s="3">
        <f>IF($E3="","",VLOOKUP($E3,RECORD_ITEMS!$A:$T,6,FALSE))</f>
        <v/>
      </c>
      <c r="H3" s="3">
        <f>IF($G3="","",LEN(TRIM($G3))-LEN(SUBSTITUTE(TRIM($G3)," ",""))+1)</f>
        <v/>
      </c>
      <c r="I3" s="3">
        <f>IF($H3="","",IF(AND($H3&gt;=8,$H3&lt;=20),"YES","NO"))</f>
        <v/>
      </c>
      <c r="J3" s="3" t="inlineStr"/>
      <c r="K3" s="3">
        <f>IF($A3="","",IF($I3="YES","READY_TO_COPY","UPGRADE_ANCHOR"))</f>
        <v/>
      </c>
    </row>
    <row r="4">
      <c r="A4" s="3" t="inlineStr"/>
      <c r="B4" s="3" t="inlineStr"/>
      <c r="C4" s="3" t="inlineStr"/>
      <c r="D4" s="3" t="inlineStr"/>
      <c r="E4" s="3" t="inlineStr"/>
      <c r="F4" s="3" t="inlineStr"/>
      <c r="G4" s="3">
        <f>IF($E4="","",VLOOKUP($E4,RECORD_ITEMS!$A:$T,6,FALSE))</f>
        <v/>
      </c>
      <c r="H4" s="3">
        <f>IF($G4="","",LEN(TRIM($G4))-LEN(SUBSTITUTE(TRIM($G4)," ",""))+1)</f>
        <v/>
      </c>
      <c r="I4" s="3">
        <f>IF($H4="","",IF(AND($H4&gt;=8,$H4&lt;=20),"YES","NO"))</f>
        <v/>
      </c>
      <c r="J4" s="3" t="inlineStr"/>
      <c r="K4" s="3">
        <f>IF($A4="","",IF($I4="YES","READY_TO_COPY","UPGRADE_ANCHOR"))</f>
        <v/>
      </c>
    </row>
    <row r="5">
      <c r="A5" s="3" t="inlineStr"/>
      <c r="B5" s="3" t="inlineStr"/>
      <c r="C5" s="3" t="inlineStr"/>
      <c r="D5" s="3" t="inlineStr"/>
      <c r="E5" s="3" t="inlineStr"/>
      <c r="F5" s="3" t="inlineStr"/>
      <c r="G5" s="3">
        <f>IF($E5="","",VLOOKUP($E5,RECORD_ITEMS!$A:$T,6,FALSE))</f>
        <v/>
      </c>
      <c r="H5" s="3">
        <f>IF($G5="","",LEN(TRIM($G5))-LEN(SUBSTITUTE(TRIM($G5)," ",""))+1)</f>
        <v/>
      </c>
      <c r="I5" s="3">
        <f>IF($H5="","",IF(AND($H5&gt;=8,$H5&lt;=20),"YES","NO"))</f>
        <v/>
      </c>
      <c r="J5" s="3" t="inlineStr"/>
      <c r="K5" s="3">
        <f>IF($A5="","",IF($I5="YES","READY_TO_COPY","UPGRADE_ANCHOR"))</f>
        <v/>
      </c>
    </row>
    <row r="6">
      <c r="A6" s="3" t="inlineStr"/>
      <c r="B6" s="3" t="inlineStr"/>
      <c r="C6" s="3" t="inlineStr"/>
      <c r="D6" s="3" t="inlineStr"/>
      <c r="E6" s="3" t="inlineStr"/>
      <c r="F6" s="3" t="inlineStr"/>
      <c r="G6" s="3">
        <f>IF($E6="","",VLOOKUP($E6,RECORD_ITEMS!$A:$T,6,FALSE))</f>
        <v/>
      </c>
      <c r="H6" s="3">
        <f>IF($G6="","",LEN(TRIM($G6))-LEN(SUBSTITUTE(TRIM($G6)," ",""))+1)</f>
        <v/>
      </c>
      <c r="I6" s="3">
        <f>IF($H6="","",IF(AND($H6&gt;=8,$H6&lt;=20),"YES","NO"))</f>
        <v/>
      </c>
      <c r="J6" s="3" t="inlineStr"/>
      <c r="K6" s="3">
        <f>IF($A6="","",IF($I6="YES","READY_TO_COPY","UPGRADE_ANCHOR"))</f>
        <v/>
      </c>
    </row>
    <row r="7">
      <c r="A7" s="3" t="inlineStr"/>
      <c r="B7" s="3" t="inlineStr"/>
      <c r="C7" s="3" t="inlineStr"/>
      <c r="D7" s="3" t="inlineStr"/>
      <c r="E7" s="3" t="inlineStr"/>
      <c r="F7" s="3" t="inlineStr"/>
      <c r="G7" s="3">
        <f>IF($E7="","",VLOOKUP($E7,RECORD_ITEMS!$A:$T,6,FALSE))</f>
        <v/>
      </c>
      <c r="H7" s="3">
        <f>IF($G7="","",LEN(TRIM($G7))-LEN(SUBSTITUTE(TRIM($G7)," ",""))+1)</f>
        <v/>
      </c>
      <c r="I7" s="3">
        <f>IF($H7="","",IF(AND($H7&gt;=8,$H7&lt;=20),"YES","NO"))</f>
        <v/>
      </c>
      <c r="J7" s="3" t="inlineStr"/>
      <c r="K7" s="3">
        <f>IF($A7="","",IF($I7="YES","READY_TO_COPY","UPGRADE_ANCHOR"))</f>
        <v/>
      </c>
    </row>
    <row r="8">
      <c r="A8" s="3" t="inlineStr"/>
      <c r="B8" s="3" t="inlineStr"/>
      <c r="C8" s="3" t="inlineStr"/>
      <c r="D8" s="3" t="inlineStr"/>
      <c r="E8" s="3" t="inlineStr"/>
      <c r="F8" s="3" t="inlineStr"/>
      <c r="G8" s="3">
        <f>IF($E8="","",VLOOKUP($E8,RECORD_ITEMS!$A:$T,6,FALSE))</f>
        <v/>
      </c>
      <c r="H8" s="3">
        <f>IF($G8="","",LEN(TRIM($G8))-LEN(SUBSTITUTE(TRIM($G8)," ",""))+1)</f>
        <v/>
      </c>
      <c r="I8" s="3">
        <f>IF($H8="","",IF(AND($H8&gt;=8,$H8&lt;=20),"YES","NO"))</f>
        <v/>
      </c>
      <c r="J8" s="3" t="inlineStr"/>
      <c r="K8" s="3">
        <f>IF($A8="","",IF($I8="YES","READY_TO_COPY","UPGRADE_ANCHOR"))</f>
        <v/>
      </c>
    </row>
    <row r="9">
      <c r="A9" s="3" t="inlineStr"/>
      <c r="B9" s="3" t="inlineStr"/>
      <c r="C9" s="3" t="inlineStr"/>
      <c r="D9" s="3" t="inlineStr"/>
      <c r="E9" s="3" t="inlineStr"/>
      <c r="F9" s="3" t="inlineStr"/>
      <c r="G9" s="3">
        <f>IF($E9="","",VLOOKUP($E9,RECORD_ITEMS!$A:$T,6,FALSE))</f>
        <v/>
      </c>
      <c r="H9" s="3">
        <f>IF($G9="","",LEN(TRIM($G9))-LEN(SUBSTITUTE(TRIM($G9)," ",""))+1)</f>
        <v/>
      </c>
      <c r="I9" s="3">
        <f>IF($H9="","",IF(AND($H9&gt;=8,$H9&lt;=20),"YES","NO"))</f>
        <v/>
      </c>
      <c r="J9" s="3" t="inlineStr"/>
      <c r="K9" s="3">
        <f>IF($A9="","",IF($I9="YES","READY_TO_COPY","UPGRADE_ANCHOR"))</f>
        <v/>
      </c>
    </row>
    <row r="10">
      <c r="A10" s="3" t="inlineStr"/>
      <c r="B10" s="3" t="inlineStr"/>
      <c r="C10" s="3" t="inlineStr"/>
      <c r="D10" s="3" t="inlineStr"/>
      <c r="E10" s="3" t="inlineStr"/>
      <c r="F10" s="3" t="inlineStr"/>
      <c r="G10" s="3">
        <f>IF($E10="","",VLOOKUP($E10,RECORD_ITEMS!$A:$T,6,FALSE))</f>
        <v/>
      </c>
      <c r="H10" s="3">
        <f>IF($G10="","",LEN(TRIM($G10))-LEN(SUBSTITUTE(TRIM($G10)," ",""))+1)</f>
        <v/>
      </c>
      <c r="I10" s="3">
        <f>IF($H10="","",IF(AND($H10&gt;=8,$H10&lt;=20),"YES","NO"))</f>
        <v/>
      </c>
      <c r="J10" s="3" t="inlineStr"/>
      <c r="K10" s="3">
        <f>IF($A10="","",IF($I10="YES","READY_TO_COPY","UPGRADE_ANCHOR"))</f>
        <v/>
      </c>
    </row>
    <row r="11">
      <c r="A11" s="3" t="inlineStr"/>
      <c r="B11" s="3" t="inlineStr"/>
      <c r="C11" s="3" t="inlineStr"/>
      <c r="D11" s="3" t="inlineStr"/>
      <c r="E11" s="3" t="inlineStr"/>
      <c r="F11" s="3" t="inlineStr"/>
      <c r="G11" s="3">
        <f>IF($E11="","",VLOOKUP($E11,RECORD_ITEMS!$A:$T,6,FALSE))</f>
        <v/>
      </c>
      <c r="H11" s="3">
        <f>IF($G11="","",LEN(TRIM($G11))-LEN(SUBSTITUTE(TRIM($G11)," ",""))+1)</f>
        <v/>
      </c>
      <c r="I11" s="3">
        <f>IF($H11="","",IF(AND($H11&gt;=8,$H11&lt;=20),"YES","NO"))</f>
        <v/>
      </c>
      <c r="J11" s="3" t="inlineStr"/>
      <c r="K11" s="3">
        <f>IF($A11="","",IF($I11="YES","READY_TO_COPY","UPGRADE_ANCHOR"))</f>
        <v/>
      </c>
    </row>
    <row r="12">
      <c r="A12" s="3" t="inlineStr"/>
      <c r="B12" s="3" t="inlineStr"/>
      <c r="C12" s="3" t="inlineStr"/>
      <c r="D12" s="3" t="inlineStr"/>
      <c r="E12" s="3" t="inlineStr"/>
      <c r="F12" s="3" t="inlineStr"/>
      <c r="G12" s="3">
        <f>IF($E12="","",VLOOKUP($E12,RECORD_ITEMS!$A:$T,6,FALSE))</f>
        <v/>
      </c>
      <c r="H12" s="3">
        <f>IF($G12="","",LEN(TRIM($G12))-LEN(SUBSTITUTE(TRIM($G12)," ",""))+1)</f>
        <v/>
      </c>
      <c r="I12" s="3">
        <f>IF($H12="","",IF(AND($H12&gt;=8,$H12&lt;=20),"YES","NO"))</f>
        <v/>
      </c>
      <c r="J12" s="3" t="inlineStr"/>
      <c r="K12" s="3">
        <f>IF($A12="","",IF($I12="YES","READY_TO_COPY","UPGRADE_ANCHOR"))</f>
        <v/>
      </c>
    </row>
    <row r="13">
      <c r="A13" s="3" t="inlineStr"/>
      <c r="B13" s="3" t="inlineStr"/>
      <c r="C13" s="3" t="inlineStr"/>
      <c r="D13" s="3" t="inlineStr"/>
      <c r="E13" s="3" t="inlineStr"/>
      <c r="F13" s="3" t="inlineStr"/>
      <c r="G13" s="3">
        <f>IF($E13="","",VLOOKUP($E13,RECORD_ITEMS!$A:$T,6,FALSE))</f>
        <v/>
      </c>
      <c r="H13" s="3">
        <f>IF($G13="","",LEN(TRIM($G13))-LEN(SUBSTITUTE(TRIM($G13)," ",""))+1)</f>
        <v/>
      </c>
      <c r="I13" s="3">
        <f>IF($H13="","",IF(AND($H13&gt;=8,$H13&lt;=20),"YES","NO"))</f>
        <v/>
      </c>
      <c r="J13" s="3" t="inlineStr"/>
      <c r="K13" s="3">
        <f>IF($A13="","",IF($I13="YES","READY_TO_COPY","UPGRADE_ANCHOR"))</f>
        <v/>
      </c>
    </row>
    <row r="14">
      <c r="A14" s="3" t="inlineStr"/>
      <c r="B14" s="3" t="inlineStr"/>
      <c r="C14" s="3" t="inlineStr"/>
      <c r="D14" s="3" t="inlineStr"/>
      <c r="E14" s="3" t="inlineStr"/>
      <c r="F14" s="3" t="inlineStr"/>
      <c r="G14" s="3">
        <f>IF($E14="","",VLOOKUP($E14,RECORD_ITEMS!$A:$T,6,FALSE))</f>
        <v/>
      </c>
      <c r="H14" s="3">
        <f>IF($G14="","",LEN(TRIM($G14))-LEN(SUBSTITUTE(TRIM($G14)," ",""))+1)</f>
        <v/>
      </c>
      <c r="I14" s="3">
        <f>IF($H14="","",IF(AND($H14&gt;=8,$H14&lt;=20),"YES","NO"))</f>
        <v/>
      </c>
      <c r="J14" s="3" t="inlineStr"/>
      <c r="K14" s="3">
        <f>IF($A14="","",IF($I14="YES","READY_TO_COPY","UPGRADE_ANCHOR"))</f>
        <v/>
      </c>
    </row>
    <row r="15">
      <c r="A15" s="3" t="inlineStr"/>
      <c r="B15" s="3" t="inlineStr"/>
      <c r="C15" s="3" t="inlineStr"/>
      <c r="D15" s="3" t="inlineStr"/>
      <c r="E15" s="3" t="inlineStr"/>
      <c r="F15" s="3" t="inlineStr"/>
      <c r="G15" s="3">
        <f>IF($E15="","",VLOOKUP($E15,RECORD_ITEMS!$A:$T,6,FALSE))</f>
        <v/>
      </c>
      <c r="H15" s="3">
        <f>IF($G15="","",LEN(TRIM($G15))-LEN(SUBSTITUTE(TRIM($G15)," ",""))+1)</f>
        <v/>
      </c>
      <c r="I15" s="3">
        <f>IF($H15="","",IF(AND($H15&gt;=8,$H15&lt;=20),"YES","NO"))</f>
        <v/>
      </c>
      <c r="J15" s="3" t="inlineStr"/>
      <c r="K15" s="3">
        <f>IF($A15="","",IF($I15="YES","READY_TO_COPY","UPGRADE_ANCHOR"))</f>
        <v/>
      </c>
    </row>
    <row r="16">
      <c r="A16" s="3" t="inlineStr"/>
      <c r="B16" s="3" t="inlineStr"/>
      <c r="C16" s="3" t="inlineStr"/>
      <c r="D16" s="3" t="inlineStr"/>
      <c r="E16" s="3" t="inlineStr"/>
      <c r="F16" s="3" t="inlineStr"/>
      <c r="G16" s="3">
        <f>IF($E16="","",VLOOKUP($E16,RECORD_ITEMS!$A:$T,6,FALSE))</f>
        <v/>
      </c>
      <c r="H16" s="3">
        <f>IF($G16="","",LEN(TRIM($G16))-LEN(SUBSTITUTE(TRIM($G16)," ",""))+1)</f>
        <v/>
      </c>
      <c r="I16" s="3">
        <f>IF($H16="","",IF(AND($H16&gt;=8,$H16&lt;=20),"YES","NO"))</f>
        <v/>
      </c>
      <c r="J16" s="3" t="inlineStr"/>
      <c r="K16" s="3">
        <f>IF($A16="","",IF($I16="YES","READY_TO_COPY","UPGRADE_ANCHOR"))</f>
        <v/>
      </c>
    </row>
    <row r="17">
      <c r="A17" s="3" t="inlineStr"/>
      <c r="B17" s="3" t="inlineStr"/>
      <c r="C17" s="3" t="inlineStr"/>
      <c r="D17" s="3" t="inlineStr"/>
      <c r="E17" s="3" t="inlineStr"/>
      <c r="F17" s="3" t="inlineStr"/>
      <c r="G17" s="3">
        <f>IF($E17="","",VLOOKUP($E17,RECORD_ITEMS!$A:$T,6,FALSE))</f>
        <v/>
      </c>
      <c r="H17" s="3">
        <f>IF($G17="","",LEN(TRIM($G17))-LEN(SUBSTITUTE(TRIM($G17)," ",""))+1)</f>
        <v/>
      </c>
      <c r="I17" s="3">
        <f>IF($H17="","",IF(AND($H17&gt;=8,$H17&lt;=20),"YES","NO"))</f>
        <v/>
      </c>
      <c r="J17" s="3" t="inlineStr"/>
      <c r="K17" s="3">
        <f>IF($A17="","",IF($I17="YES","READY_TO_COPY","UPGRADE_ANCHOR"))</f>
        <v/>
      </c>
    </row>
    <row r="18">
      <c r="A18" s="3" t="inlineStr"/>
      <c r="B18" s="3" t="inlineStr"/>
      <c r="C18" s="3" t="inlineStr"/>
      <c r="D18" s="3" t="inlineStr"/>
      <c r="E18" s="3" t="inlineStr"/>
      <c r="F18" s="3" t="inlineStr"/>
      <c r="G18" s="3">
        <f>IF($E18="","",VLOOKUP($E18,RECORD_ITEMS!$A:$T,6,FALSE))</f>
        <v/>
      </c>
      <c r="H18" s="3">
        <f>IF($G18="","",LEN(TRIM($G18))-LEN(SUBSTITUTE(TRIM($G18)," ",""))+1)</f>
        <v/>
      </c>
      <c r="I18" s="3">
        <f>IF($H18="","",IF(AND($H18&gt;=8,$H18&lt;=20),"YES","NO"))</f>
        <v/>
      </c>
      <c r="J18" s="3" t="inlineStr"/>
      <c r="K18" s="3">
        <f>IF($A18="","",IF($I18="YES","READY_TO_COPY","UPGRADE_ANCHOR"))</f>
        <v/>
      </c>
    </row>
    <row r="19">
      <c r="A19" s="3" t="inlineStr"/>
      <c r="B19" s="3" t="inlineStr"/>
      <c r="C19" s="3" t="inlineStr"/>
      <c r="D19" s="3" t="inlineStr"/>
      <c r="E19" s="3" t="inlineStr"/>
      <c r="F19" s="3" t="inlineStr"/>
      <c r="G19" s="3">
        <f>IF($E19="","",VLOOKUP($E19,RECORD_ITEMS!$A:$T,6,FALSE))</f>
        <v/>
      </c>
      <c r="H19" s="3">
        <f>IF($G19="","",LEN(TRIM($G19))-LEN(SUBSTITUTE(TRIM($G19)," ",""))+1)</f>
        <v/>
      </c>
      <c r="I19" s="3">
        <f>IF($H19="","",IF(AND($H19&gt;=8,$H19&lt;=20),"YES","NO"))</f>
        <v/>
      </c>
      <c r="J19" s="3" t="inlineStr"/>
      <c r="K19" s="3">
        <f>IF($A19="","",IF($I19="YES","READY_TO_COPY","UPGRADE_ANCHOR"))</f>
        <v/>
      </c>
    </row>
    <row r="20">
      <c r="A20" s="3" t="inlineStr"/>
      <c r="B20" s="3" t="inlineStr"/>
      <c r="C20" s="3" t="inlineStr"/>
      <c r="D20" s="3" t="inlineStr"/>
      <c r="E20" s="3" t="inlineStr"/>
      <c r="F20" s="3" t="inlineStr"/>
      <c r="G20" s="3">
        <f>IF($E20="","",VLOOKUP($E20,RECORD_ITEMS!$A:$T,6,FALSE))</f>
        <v/>
      </c>
      <c r="H20" s="3">
        <f>IF($G20="","",LEN(TRIM($G20))-LEN(SUBSTITUTE(TRIM($G20)," ",""))+1)</f>
        <v/>
      </c>
      <c r="I20" s="3">
        <f>IF($H20="","",IF(AND($H20&gt;=8,$H20&lt;=20),"YES","NO"))</f>
        <v/>
      </c>
      <c r="J20" s="3" t="inlineStr"/>
      <c r="K20" s="3">
        <f>IF($A20="","",IF($I20="YES","READY_TO_COPY","UPGRADE_ANCHOR"))</f>
        <v/>
      </c>
    </row>
    <row r="21">
      <c r="A21" s="3" t="inlineStr"/>
      <c r="B21" s="3" t="inlineStr"/>
      <c r="C21" s="3" t="inlineStr"/>
      <c r="D21" s="3" t="inlineStr"/>
      <c r="E21" s="3" t="inlineStr"/>
      <c r="F21" s="3" t="inlineStr"/>
      <c r="G21" s="3">
        <f>IF($E21="","",VLOOKUP($E21,RECORD_ITEMS!$A:$T,6,FALSE))</f>
        <v/>
      </c>
      <c r="H21" s="3">
        <f>IF($G21="","",LEN(TRIM($G21))-LEN(SUBSTITUTE(TRIM($G21)," ",""))+1)</f>
        <v/>
      </c>
      <c r="I21" s="3">
        <f>IF($H21="","",IF(AND($H21&gt;=8,$H21&lt;=20),"YES","NO"))</f>
        <v/>
      </c>
      <c r="J21" s="3" t="inlineStr"/>
      <c r="K21" s="3">
        <f>IF($A21="","",IF($I21="YES","READY_TO_COPY","UPGRADE_ANCHOR"))</f>
        <v/>
      </c>
    </row>
    <row r="22">
      <c r="A22" s="3" t="inlineStr"/>
      <c r="B22" s="3" t="inlineStr"/>
      <c r="C22" s="3" t="inlineStr"/>
      <c r="D22" s="3" t="inlineStr"/>
      <c r="E22" s="3" t="inlineStr"/>
      <c r="F22" s="3" t="inlineStr"/>
      <c r="G22" s="3">
        <f>IF($E22="","",VLOOKUP($E22,RECORD_ITEMS!$A:$T,6,FALSE))</f>
        <v/>
      </c>
      <c r="H22" s="3">
        <f>IF($G22="","",LEN(TRIM($G22))-LEN(SUBSTITUTE(TRIM($G22)," ",""))+1)</f>
        <v/>
      </c>
      <c r="I22" s="3">
        <f>IF($H22="","",IF(AND($H22&gt;=8,$H22&lt;=20),"YES","NO"))</f>
        <v/>
      </c>
      <c r="J22" s="3" t="inlineStr"/>
      <c r="K22" s="3">
        <f>IF($A22="","",IF($I22="YES","READY_TO_COPY","UPGRADE_ANCHOR"))</f>
        <v/>
      </c>
    </row>
    <row r="23">
      <c r="A23" s="3" t="inlineStr"/>
      <c r="B23" s="3" t="inlineStr"/>
      <c r="C23" s="3" t="inlineStr"/>
      <c r="D23" s="3" t="inlineStr"/>
      <c r="E23" s="3" t="inlineStr"/>
      <c r="F23" s="3" t="inlineStr"/>
      <c r="G23" s="3">
        <f>IF($E23="","",VLOOKUP($E23,RECORD_ITEMS!$A:$T,6,FALSE))</f>
        <v/>
      </c>
      <c r="H23" s="3">
        <f>IF($G23="","",LEN(TRIM($G23))-LEN(SUBSTITUTE(TRIM($G23)," ",""))+1)</f>
        <v/>
      </c>
      <c r="I23" s="3">
        <f>IF($H23="","",IF(AND($H23&gt;=8,$H23&lt;=20),"YES","NO"))</f>
        <v/>
      </c>
      <c r="J23" s="3" t="inlineStr"/>
      <c r="K23" s="3">
        <f>IF($A23="","",IF($I23="YES","READY_TO_COPY","UPGRADE_ANCHOR"))</f>
        <v/>
      </c>
    </row>
    <row r="24">
      <c r="A24" s="3" t="inlineStr"/>
      <c r="B24" s="3" t="inlineStr"/>
      <c r="C24" s="3" t="inlineStr"/>
      <c r="D24" s="3" t="inlineStr"/>
      <c r="E24" s="3" t="inlineStr"/>
      <c r="F24" s="3" t="inlineStr"/>
      <c r="G24" s="3">
        <f>IF($E24="","",VLOOKUP($E24,RECORD_ITEMS!$A:$T,6,FALSE))</f>
        <v/>
      </c>
      <c r="H24" s="3">
        <f>IF($G24="","",LEN(TRIM($G24))-LEN(SUBSTITUTE(TRIM($G24)," ",""))+1)</f>
        <v/>
      </c>
      <c r="I24" s="3">
        <f>IF($H24="","",IF(AND($H24&gt;=8,$H24&lt;=20),"YES","NO"))</f>
        <v/>
      </c>
      <c r="J24" s="3" t="inlineStr"/>
      <c r="K24" s="3">
        <f>IF($A24="","",IF($I24="YES","READY_TO_COPY","UPGRADE_ANCHOR"))</f>
        <v/>
      </c>
    </row>
    <row r="25">
      <c r="A25" s="3" t="inlineStr"/>
      <c r="B25" s="3" t="inlineStr"/>
      <c r="C25" s="3" t="inlineStr"/>
      <c r="D25" s="3" t="inlineStr"/>
      <c r="E25" s="3" t="inlineStr"/>
      <c r="F25" s="3" t="inlineStr"/>
      <c r="G25" s="3">
        <f>IF($E25="","",VLOOKUP($E25,RECORD_ITEMS!$A:$T,6,FALSE))</f>
        <v/>
      </c>
      <c r="H25" s="3">
        <f>IF($G25="","",LEN(TRIM($G25))-LEN(SUBSTITUTE(TRIM($G25)," ",""))+1)</f>
        <v/>
      </c>
      <c r="I25" s="3">
        <f>IF($H25="","",IF(AND($H25&gt;=8,$H25&lt;=20),"YES","NO"))</f>
        <v/>
      </c>
      <c r="J25" s="3" t="inlineStr"/>
      <c r="K25" s="3">
        <f>IF($A25="","",IF($I25="YES","READY_TO_COPY","UPGRADE_ANCHOR"))</f>
        <v/>
      </c>
    </row>
    <row r="26">
      <c r="A26" s="3" t="inlineStr"/>
      <c r="B26" s="3" t="inlineStr"/>
      <c r="C26" s="3" t="inlineStr"/>
      <c r="D26" s="3" t="inlineStr"/>
      <c r="E26" s="3" t="inlineStr"/>
      <c r="F26" s="3" t="inlineStr"/>
      <c r="G26" s="3">
        <f>IF($E26="","",VLOOKUP($E26,RECORD_ITEMS!$A:$T,6,FALSE))</f>
        <v/>
      </c>
      <c r="H26" s="3">
        <f>IF($G26="","",LEN(TRIM($G26))-LEN(SUBSTITUTE(TRIM($G26)," ",""))+1)</f>
        <v/>
      </c>
      <c r="I26" s="3">
        <f>IF($H26="","",IF(AND($H26&gt;=8,$H26&lt;=20),"YES","NO"))</f>
        <v/>
      </c>
      <c r="J26" s="3" t="inlineStr"/>
      <c r="K26" s="3">
        <f>IF($A26="","",IF($I26="YES","READY_TO_COPY","UPGRADE_ANCHOR"))</f>
        <v/>
      </c>
    </row>
    <row r="27">
      <c r="A27" s="3" t="inlineStr"/>
      <c r="B27" s="3" t="inlineStr"/>
      <c r="C27" s="3" t="inlineStr"/>
      <c r="D27" s="3" t="inlineStr"/>
      <c r="E27" s="3" t="inlineStr"/>
      <c r="F27" s="3" t="inlineStr"/>
      <c r="G27" s="3">
        <f>IF($E27="","",VLOOKUP($E27,RECORD_ITEMS!$A:$T,6,FALSE))</f>
        <v/>
      </c>
      <c r="H27" s="3">
        <f>IF($G27="","",LEN(TRIM($G27))-LEN(SUBSTITUTE(TRIM($G27)," ",""))+1)</f>
        <v/>
      </c>
      <c r="I27" s="3">
        <f>IF($H27="","",IF(AND($H27&gt;=8,$H27&lt;=20),"YES","NO"))</f>
        <v/>
      </c>
      <c r="J27" s="3" t="inlineStr"/>
      <c r="K27" s="3">
        <f>IF($A27="","",IF($I27="YES","READY_TO_COPY","UPGRADE_ANCHOR"))</f>
        <v/>
      </c>
    </row>
    <row r="28">
      <c r="A28" s="3" t="inlineStr"/>
      <c r="B28" s="3" t="inlineStr"/>
      <c r="C28" s="3" t="inlineStr"/>
      <c r="D28" s="3" t="inlineStr"/>
      <c r="E28" s="3" t="inlineStr"/>
      <c r="F28" s="3" t="inlineStr"/>
      <c r="G28" s="3">
        <f>IF($E28="","",VLOOKUP($E28,RECORD_ITEMS!$A:$T,6,FALSE))</f>
        <v/>
      </c>
      <c r="H28" s="3">
        <f>IF($G28="","",LEN(TRIM($G28))-LEN(SUBSTITUTE(TRIM($G28)," ",""))+1)</f>
        <v/>
      </c>
      <c r="I28" s="3">
        <f>IF($H28="","",IF(AND($H28&gt;=8,$H28&lt;=20),"YES","NO"))</f>
        <v/>
      </c>
      <c r="J28" s="3" t="inlineStr"/>
      <c r="K28" s="3">
        <f>IF($A28="","",IF($I28="YES","READY_TO_COPY","UPGRADE_ANCHOR"))</f>
        <v/>
      </c>
    </row>
    <row r="29">
      <c r="A29" s="3" t="inlineStr"/>
      <c r="B29" s="3" t="inlineStr"/>
      <c r="C29" s="3" t="inlineStr"/>
      <c r="D29" s="3" t="inlineStr"/>
      <c r="E29" s="3" t="inlineStr"/>
      <c r="F29" s="3" t="inlineStr"/>
      <c r="G29" s="3">
        <f>IF($E29="","",VLOOKUP($E29,RECORD_ITEMS!$A:$T,6,FALSE))</f>
        <v/>
      </c>
      <c r="H29" s="3">
        <f>IF($G29="","",LEN(TRIM($G29))-LEN(SUBSTITUTE(TRIM($G29)," ",""))+1)</f>
        <v/>
      </c>
      <c r="I29" s="3">
        <f>IF($H29="","",IF(AND($H29&gt;=8,$H29&lt;=20),"YES","NO"))</f>
        <v/>
      </c>
      <c r="J29" s="3" t="inlineStr"/>
      <c r="K29" s="3">
        <f>IF($A29="","",IF($I29="YES","READY_TO_COPY","UPGRADE_ANCHOR"))</f>
        <v/>
      </c>
    </row>
    <row r="30">
      <c r="A30" s="3" t="inlineStr"/>
      <c r="B30" s="3" t="inlineStr"/>
      <c r="C30" s="3" t="inlineStr"/>
      <c r="D30" s="3" t="inlineStr"/>
      <c r="E30" s="3" t="inlineStr"/>
      <c r="F30" s="3" t="inlineStr"/>
      <c r="G30" s="3">
        <f>IF($E30="","",VLOOKUP($E30,RECORD_ITEMS!$A:$T,6,FALSE))</f>
        <v/>
      </c>
      <c r="H30" s="3">
        <f>IF($G30="","",LEN(TRIM($G30))-LEN(SUBSTITUTE(TRIM($G30)," ",""))+1)</f>
        <v/>
      </c>
      <c r="I30" s="3">
        <f>IF($H30="","",IF(AND($H30&gt;=8,$H30&lt;=20),"YES","NO"))</f>
        <v/>
      </c>
      <c r="J30" s="3" t="inlineStr"/>
      <c r="K30" s="3">
        <f>IF($A30="","",IF($I30="YES","READY_TO_COPY","UPGRADE_ANCHOR"))</f>
        <v/>
      </c>
    </row>
    <row r="31">
      <c r="A31" s="3" t="inlineStr"/>
      <c r="B31" s="3" t="inlineStr"/>
      <c r="C31" s="3" t="inlineStr"/>
      <c r="D31" s="3" t="inlineStr"/>
      <c r="E31" s="3" t="inlineStr"/>
      <c r="F31" s="3" t="inlineStr"/>
      <c r="G31" s="3">
        <f>IF($E31="","",VLOOKUP($E31,RECORD_ITEMS!$A:$T,6,FALSE))</f>
        <v/>
      </c>
      <c r="H31" s="3">
        <f>IF($G31="","",LEN(TRIM($G31))-LEN(SUBSTITUTE(TRIM($G31)," ",""))+1)</f>
        <v/>
      </c>
      <c r="I31" s="3">
        <f>IF($H31="","",IF(AND($H31&gt;=8,$H31&lt;=20),"YES","NO"))</f>
        <v/>
      </c>
      <c r="J31" s="3" t="inlineStr"/>
      <c r="K31" s="3">
        <f>IF($A31="","",IF($I31="YES","READY_TO_COPY","UPGRADE_ANCHOR"))</f>
        <v/>
      </c>
    </row>
    <row r="32">
      <c r="A32" s="3" t="inlineStr"/>
      <c r="B32" s="3" t="inlineStr"/>
      <c r="C32" s="3" t="inlineStr"/>
      <c r="D32" s="3" t="inlineStr"/>
      <c r="E32" s="3" t="inlineStr"/>
      <c r="F32" s="3" t="inlineStr"/>
      <c r="G32" s="3">
        <f>IF($E32="","",VLOOKUP($E32,RECORD_ITEMS!$A:$T,6,FALSE))</f>
        <v/>
      </c>
      <c r="H32" s="3">
        <f>IF($G32="","",LEN(TRIM($G32))-LEN(SUBSTITUTE(TRIM($G32)," ",""))+1)</f>
        <v/>
      </c>
      <c r="I32" s="3">
        <f>IF($H32="","",IF(AND($H32&gt;=8,$H32&lt;=20),"YES","NO"))</f>
        <v/>
      </c>
      <c r="J32" s="3" t="inlineStr"/>
      <c r="K32" s="3">
        <f>IF($A32="","",IF($I32="YES","READY_TO_COPY","UPGRADE_ANCHOR"))</f>
        <v/>
      </c>
    </row>
    <row r="33">
      <c r="A33" s="3" t="inlineStr"/>
      <c r="B33" s="3" t="inlineStr"/>
      <c r="C33" s="3" t="inlineStr"/>
      <c r="D33" s="3" t="inlineStr"/>
      <c r="E33" s="3" t="inlineStr"/>
      <c r="F33" s="3" t="inlineStr"/>
      <c r="G33" s="3">
        <f>IF($E33="","",VLOOKUP($E33,RECORD_ITEMS!$A:$T,6,FALSE))</f>
        <v/>
      </c>
      <c r="H33" s="3">
        <f>IF($G33="","",LEN(TRIM($G33))-LEN(SUBSTITUTE(TRIM($G33)," ",""))+1)</f>
        <v/>
      </c>
      <c r="I33" s="3">
        <f>IF($H33="","",IF(AND($H33&gt;=8,$H33&lt;=20),"YES","NO"))</f>
        <v/>
      </c>
      <c r="J33" s="3" t="inlineStr"/>
      <c r="K33" s="3">
        <f>IF($A33="","",IF($I33="YES","READY_TO_COPY","UPGRADE_ANCHOR"))</f>
        <v/>
      </c>
    </row>
    <row r="34">
      <c r="A34" s="3" t="inlineStr"/>
      <c r="B34" s="3" t="inlineStr"/>
      <c r="C34" s="3" t="inlineStr"/>
      <c r="D34" s="3" t="inlineStr"/>
      <c r="E34" s="3" t="inlineStr"/>
      <c r="F34" s="3" t="inlineStr"/>
      <c r="G34" s="3">
        <f>IF($E34="","",VLOOKUP($E34,RECORD_ITEMS!$A:$T,6,FALSE))</f>
        <v/>
      </c>
      <c r="H34" s="3">
        <f>IF($G34="","",LEN(TRIM($G34))-LEN(SUBSTITUTE(TRIM($G34)," ",""))+1)</f>
        <v/>
      </c>
      <c r="I34" s="3">
        <f>IF($H34="","",IF(AND($H34&gt;=8,$H34&lt;=20),"YES","NO"))</f>
        <v/>
      </c>
      <c r="J34" s="3" t="inlineStr"/>
      <c r="K34" s="3">
        <f>IF($A34="","",IF($I34="YES","READY_TO_COPY","UPGRADE_ANCHOR"))</f>
        <v/>
      </c>
    </row>
    <row r="35">
      <c r="A35" s="3" t="inlineStr"/>
      <c r="B35" s="3" t="inlineStr"/>
      <c r="C35" s="3" t="inlineStr"/>
      <c r="D35" s="3" t="inlineStr"/>
      <c r="E35" s="3" t="inlineStr"/>
      <c r="F35" s="3" t="inlineStr"/>
      <c r="G35" s="3">
        <f>IF($E35="","",VLOOKUP($E35,RECORD_ITEMS!$A:$T,6,FALSE))</f>
        <v/>
      </c>
      <c r="H35" s="3">
        <f>IF($G35="","",LEN(TRIM($G35))-LEN(SUBSTITUTE(TRIM($G35)," ",""))+1)</f>
        <v/>
      </c>
      <c r="I35" s="3">
        <f>IF($H35="","",IF(AND($H35&gt;=8,$H35&lt;=20),"YES","NO"))</f>
        <v/>
      </c>
      <c r="J35" s="3" t="inlineStr"/>
      <c r="K35" s="3">
        <f>IF($A35="","",IF($I35="YES","READY_TO_COPY","UPGRADE_ANCHOR"))</f>
        <v/>
      </c>
    </row>
    <row r="36">
      <c r="A36" s="3" t="inlineStr"/>
      <c r="B36" s="3" t="inlineStr"/>
      <c r="C36" s="3" t="inlineStr"/>
      <c r="D36" s="3" t="inlineStr"/>
      <c r="E36" s="3" t="inlineStr"/>
      <c r="F36" s="3" t="inlineStr"/>
      <c r="G36" s="3">
        <f>IF($E36="","",VLOOKUP($E36,RECORD_ITEMS!$A:$T,6,FALSE))</f>
        <v/>
      </c>
      <c r="H36" s="3">
        <f>IF($G36="","",LEN(TRIM($G36))-LEN(SUBSTITUTE(TRIM($G36)," ",""))+1)</f>
        <v/>
      </c>
      <c r="I36" s="3">
        <f>IF($H36="","",IF(AND($H36&gt;=8,$H36&lt;=20),"YES","NO"))</f>
        <v/>
      </c>
      <c r="J36" s="3" t="inlineStr"/>
      <c r="K36" s="3">
        <f>IF($A36="","",IF($I36="YES","READY_TO_COPY","UPGRADE_ANCHOR"))</f>
        <v/>
      </c>
    </row>
    <row r="37">
      <c r="A37" s="3" t="inlineStr"/>
      <c r="B37" s="3" t="inlineStr"/>
      <c r="C37" s="3" t="inlineStr"/>
      <c r="D37" s="3" t="inlineStr"/>
      <c r="E37" s="3" t="inlineStr"/>
      <c r="F37" s="3" t="inlineStr"/>
      <c r="G37" s="3">
        <f>IF($E37="","",VLOOKUP($E37,RECORD_ITEMS!$A:$T,6,FALSE))</f>
        <v/>
      </c>
      <c r="H37" s="3">
        <f>IF($G37="","",LEN(TRIM($G37))-LEN(SUBSTITUTE(TRIM($G37)," ",""))+1)</f>
        <v/>
      </c>
      <c r="I37" s="3">
        <f>IF($H37="","",IF(AND($H37&gt;=8,$H37&lt;=20),"YES","NO"))</f>
        <v/>
      </c>
      <c r="J37" s="3" t="inlineStr"/>
      <c r="K37" s="3">
        <f>IF($A37="","",IF($I37="YES","READY_TO_COPY","UPGRADE_ANCHOR"))</f>
        <v/>
      </c>
    </row>
    <row r="38">
      <c r="A38" s="3" t="inlineStr"/>
      <c r="B38" s="3" t="inlineStr"/>
      <c r="C38" s="3" t="inlineStr"/>
      <c r="D38" s="3" t="inlineStr"/>
      <c r="E38" s="3" t="inlineStr"/>
      <c r="F38" s="3" t="inlineStr"/>
      <c r="G38" s="3">
        <f>IF($E38="","",VLOOKUP($E38,RECORD_ITEMS!$A:$T,6,FALSE))</f>
        <v/>
      </c>
      <c r="H38" s="3">
        <f>IF($G38="","",LEN(TRIM($G38))-LEN(SUBSTITUTE(TRIM($G38)," ",""))+1)</f>
        <v/>
      </c>
      <c r="I38" s="3">
        <f>IF($H38="","",IF(AND($H38&gt;=8,$H38&lt;=20),"YES","NO"))</f>
        <v/>
      </c>
      <c r="J38" s="3" t="inlineStr"/>
      <c r="K38" s="3">
        <f>IF($A38="","",IF($I38="YES","READY_TO_COPY","UPGRADE_ANCHOR"))</f>
        <v/>
      </c>
    </row>
    <row r="39">
      <c r="A39" s="3" t="inlineStr"/>
      <c r="B39" s="3" t="inlineStr"/>
      <c r="C39" s="3" t="inlineStr"/>
      <c r="D39" s="3" t="inlineStr"/>
      <c r="E39" s="3" t="inlineStr"/>
      <c r="F39" s="3" t="inlineStr"/>
      <c r="G39" s="3">
        <f>IF($E39="","",VLOOKUP($E39,RECORD_ITEMS!$A:$T,6,FALSE))</f>
        <v/>
      </c>
      <c r="H39" s="3">
        <f>IF($G39="","",LEN(TRIM($G39))-LEN(SUBSTITUTE(TRIM($G39)," ",""))+1)</f>
        <v/>
      </c>
      <c r="I39" s="3">
        <f>IF($H39="","",IF(AND($H39&gt;=8,$H39&lt;=20),"YES","NO"))</f>
        <v/>
      </c>
      <c r="J39" s="3" t="inlineStr"/>
      <c r="K39" s="3">
        <f>IF($A39="","",IF($I39="YES","READY_TO_COPY","UPGRADE_ANCHOR"))</f>
        <v/>
      </c>
    </row>
    <row r="40">
      <c r="A40" s="3" t="inlineStr"/>
      <c r="B40" s="3" t="inlineStr"/>
      <c r="C40" s="3" t="inlineStr"/>
      <c r="D40" s="3" t="inlineStr"/>
      <c r="E40" s="3" t="inlineStr"/>
      <c r="F40" s="3" t="inlineStr"/>
      <c r="G40" s="3">
        <f>IF($E40="","",VLOOKUP($E40,RECORD_ITEMS!$A:$T,6,FALSE))</f>
        <v/>
      </c>
      <c r="H40" s="3">
        <f>IF($G40="","",LEN(TRIM($G40))-LEN(SUBSTITUTE(TRIM($G40)," ",""))+1)</f>
        <v/>
      </c>
      <c r="I40" s="3">
        <f>IF($H40="","",IF(AND($H40&gt;=8,$H40&lt;=20),"YES","NO"))</f>
        <v/>
      </c>
      <c r="J40" s="3" t="inlineStr"/>
      <c r="K40" s="3">
        <f>IF($A40="","",IF($I40="YES","READY_TO_COPY","UPGRADE_ANCHOR"))</f>
        <v/>
      </c>
    </row>
    <row r="41">
      <c r="A41" s="3" t="inlineStr"/>
      <c r="B41" s="3" t="inlineStr"/>
      <c r="C41" s="3" t="inlineStr"/>
      <c r="D41" s="3" t="inlineStr"/>
      <c r="E41" s="3" t="inlineStr"/>
      <c r="F41" s="3" t="inlineStr"/>
      <c r="G41" s="3">
        <f>IF($E41="","",VLOOKUP($E41,RECORD_ITEMS!$A:$T,6,FALSE))</f>
        <v/>
      </c>
      <c r="H41" s="3">
        <f>IF($G41="","",LEN(TRIM($G41))-LEN(SUBSTITUTE(TRIM($G41)," ",""))+1)</f>
        <v/>
      </c>
      <c r="I41" s="3">
        <f>IF($H41="","",IF(AND($H41&gt;=8,$H41&lt;=20),"YES","NO"))</f>
        <v/>
      </c>
      <c r="J41" s="3" t="inlineStr"/>
      <c r="K41" s="3">
        <f>IF($A41="","",IF($I41="YES","READY_TO_COPY","UPGRADE_ANCHOR"))</f>
        <v/>
      </c>
    </row>
    <row r="42">
      <c r="A42" s="3" t="inlineStr"/>
      <c r="B42" s="3" t="inlineStr"/>
      <c r="C42" s="3" t="inlineStr"/>
      <c r="D42" s="3" t="inlineStr"/>
      <c r="E42" s="3" t="inlineStr"/>
      <c r="F42" s="3" t="inlineStr"/>
      <c r="G42" s="3">
        <f>IF($E42="","",VLOOKUP($E42,RECORD_ITEMS!$A:$T,6,FALSE))</f>
        <v/>
      </c>
      <c r="H42" s="3">
        <f>IF($G42="","",LEN(TRIM($G42))-LEN(SUBSTITUTE(TRIM($G42)," ",""))+1)</f>
        <v/>
      </c>
      <c r="I42" s="3">
        <f>IF($H42="","",IF(AND($H42&gt;=8,$H42&lt;=20),"YES","NO"))</f>
        <v/>
      </c>
      <c r="J42" s="3" t="inlineStr"/>
      <c r="K42" s="3">
        <f>IF($A42="","",IF($I42="YES","READY_TO_COPY","UPGRADE_ANCHOR"))</f>
        <v/>
      </c>
    </row>
    <row r="43">
      <c r="A43" s="3" t="inlineStr"/>
      <c r="B43" s="3" t="inlineStr"/>
      <c r="C43" s="3" t="inlineStr"/>
      <c r="D43" s="3" t="inlineStr"/>
      <c r="E43" s="3" t="inlineStr"/>
      <c r="F43" s="3" t="inlineStr"/>
      <c r="G43" s="3">
        <f>IF($E43="","",VLOOKUP($E43,RECORD_ITEMS!$A:$T,6,FALSE))</f>
        <v/>
      </c>
      <c r="H43" s="3">
        <f>IF($G43="","",LEN(TRIM($G43))-LEN(SUBSTITUTE(TRIM($G43)," ",""))+1)</f>
        <v/>
      </c>
      <c r="I43" s="3">
        <f>IF($H43="","",IF(AND($H43&gt;=8,$H43&lt;=20),"YES","NO"))</f>
        <v/>
      </c>
      <c r="J43" s="3" t="inlineStr"/>
      <c r="K43" s="3">
        <f>IF($A43="","",IF($I43="YES","READY_TO_COPY","UPGRADE_ANCHOR"))</f>
        <v/>
      </c>
    </row>
    <row r="44">
      <c r="A44" s="3" t="inlineStr"/>
      <c r="B44" s="3" t="inlineStr"/>
      <c r="C44" s="3" t="inlineStr"/>
      <c r="D44" s="3" t="inlineStr"/>
      <c r="E44" s="3" t="inlineStr"/>
      <c r="F44" s="3" t="inlineStr"/>
      <c r="G44" s="3">
        <f>IF($E44="","",VLOOKUP($E44,RECORD_ITEMS!$A:$T,6,FALSE))</f>
        <v/>
      </c>
      <c r="H44" s="3">
        <f>IF($G44="","",LEN(TRIM($G44))-LEN(SUBSTITUTE(TRIM($G44)," ",""))+1)</f>
        <v/>
      </c>
      <c r="I44" s="3">
        <f>IF($H44="","",IF(AND($H44&gt;=8,$H44&lt;=20),"YES","NO"))</f>
        <v/>
      </c>
      <c r="J44" s="3" t="inlineStr"/>
      <c r="K44" s="3">
        <f>IF($A44="","",IF($I44="YES","READY_TO_COPY","UPGRADE_ANCHOR"))</f>
        <v/>
      </c>
    </row>
    <row r="45">
      <c r="A45" s="3" t="inlineStr"/>
      <c r="B45" s="3" t="inlineStr"/>
      <c r="C45" s="3" t="inlineStr"/>
      <c r="D45" s="3" t="inlineStr"/>
      <c r="E45" s="3" t="inlineStr"/>
      <c r="F45" s="3" t="inlineStr"/>
      <c r="G45" s="3">
        <f>IF($E45="","",VLOOKUP($E45,RECORD_ITEMS!$A:$T,6,FALSE))</f>
        <v/>
      </c>
      <c r="H45" s="3">
        <f>IF($G45="","",LEN(TRIM($G45))-LEN(SUBSTITUTE(TRIM($G45)," ",""))+1)</f>
        <v/>
      </c>
      <c r="I45" s="3">
        <f>IF($H45="","",IF(AND($H45&gt;=8,$H45&lt;=20),"YES","NO"))</f>
        <v/>
      </c>
      <c r="J45" s="3" t="inlineStr"/>
      <c r="K45" s="3">
        <f>IF($A45="","",IF($I45="YES","READY_TO_COPY","UPGRADE_ANCHOR"))</f>
        <v/>
      </c>
    </row>
    <row r="46">
      <c r="A46" s="3" t="inlineStr"/>
      <c r="B46" s="3" t="inlineStr"/>
      <c r="C46" s="3" t="inlineStr"/>
      <c r="D46" s="3" t="inlineStr"/>
      <c r="E46" s="3" t="inlineStr"/>
      <c r="F46" s="3" t="inlineStr"/>
      <c r="G46" s="3">
        <f>IF($E46="","",VLOOKUP($E46,RECORD_ITEMS!$A:$T,6,FALSE))</f>
        <v/>
      </c>
      <c r="H46" s="3">
        <f>IF($G46="","",LEN(TRIM($G46))-LEN(SUBSTITUTE(TRIM($G46)," ",""))+1)</f>
        <v/>
      </c>
      <c r="I46" s="3">
        <f>IF($H46="","",IF(AND($H46&gt;=8,$H46&lt;=20),"YES","NO"))</f>
        <v/>
      </c>
      <c r="J46" s="3" t="inlineStr"/>
      <c r="K46" s="3">
        <f>IF($A46="","",IF($I46="YES","READY_TO_COPY","UPGRADE_ANCHOR"))</f>
        <v/>
      </c>
    </row>
    <row r="47">
      <c r="A47" s="3" t="inlineStr"/>
      <c r="B47" s="3" t="inlineStr"/>
      <c r="C47" s="3" t="inlineStr"/>
      <c r="D47" s="3" t="inlineStr"/>
      <c r="E47" s="3" t="inlineStr"/>
      <c r="F47" s="3" t="inlineStr"/>
      <c r="G47" s="3">
        <f>IF($E47="","",VLOOKUP($E47,RECORD_ITEMS!$A:$T,6,FALSE))</f>
        <v/>
      </c>
      <c r="H47" s="3">
        <f>IF($G47="","",LEN(TRIM($G47))-LEN(SUBSTITUTE(TRIM($G47)," ",""))+1)</f>
        <v/>
      </c>
      <c r="I47" s="3">
        <f>IF($H47="","",IF(AND($H47&gt;=8,$H47&lt;=20),"YES","NO"))</f>
        <v/>
      </c>
      <c r="J47" s="3" t="inlineStr"/>
      <c r="K47" s="3">
        <f>IF($A47="","",IF($I47="YES","READY_TO_COPY","UPGRADE_ANCHOR"))</f>
        <v/>
      </c>
    </row>
    <row r="48">
      <c r="A48" s="3" t="inlineStr"/>
      <c r="B48" s="3" t="inlineStr"/>
      <c r="C48" s="3" t="inlineStr"/>
      <c r="D48" s="3" t="inlineStr"/>
      <c r="E48" s="3" t="inlineStr"/>
      <c r="F48" s="3" t="inlineStr"/>
      <c r="G48" s="3">
        <f>IF($E48="","",VLOOKUP($E48,RECORD_ITEMS!$A:$T,6,FALSE))</f>
        <v/>
      </c>
      <c r="H48" s="3">
        <f>IF($G48="","",LEN(TRIM($G48))-LEN(SUBSTITUTE(TRIM($G48)," ",""))+1)</f>
        <v/>
      </c>
      <c r="I48" s="3">
        <f>IF($H48="","",IF(AND($H48&gt;=8,$H48&lt;=20),"YES","NO"))</f>
        <v/>
      </c>
      <c r="J48" s="3" t="inlineStr"/>
      <c r="K48" s="3">
        <f>IF($A48="","",IF($I48="YES","READY_TO_COPY","UPGRADE_ANCHOR"))</f>
        <v/>
      </c>
    </row>
    <row r="49">
      <c r="A49" s="3" t="inlineStr"/>
      <c r="B49" s="3" t="inlineStr"/>
      <c r="C49" s="3" t="inlineStr"/>
      <c r="D49" s="3" t="inlineStr"/>
      <c r="E49" s="3" t="inlineStr"/>
      <c r="F49" s="3" t="inlineStr"/>
      <c r="G49" s="3">
        <f>IF($E49="","",VLOOKUP($E49,RECORD_ITEMS!$A:$T,6,FALSE))</f>
        <v/>
      </c>
      <c r="H49" s="3">
        <f>IF($G49="","",LEN(TRIM($G49))-LEN(SUBSTITUTE(TRIM($G49)," ",""))+1)</f>
        <v/>
      </c>
      <c r="I49" s="3">
        <f>IF($H49="","",IF(AND($H49&gt;=8,$H49&lt;=20),"YES","NO"))</f>
        <v/>
      </c>
      <c r="J49" s="3" t="inlineStr"/>
      <c r="K49" s="3">
        <f>IF($A49="","",IF($I49="YES","READY_TO_COPY","UPGRADE_ANCHOR"))</f>
        <v/>
      </c>
    </row>
    <row r="50">
      <c r="A50" s="3" t="inlineStr"/>
      <c r="B50" s="3" t="inlineStr"/>
      <c r="C50" s="3" t="inlineStr"/>
      <c r="D50" s="3" t="inlineStr"/>
      <c r="E50" s="3" t="inlineStr"/>
      <c r="F50" s="3" t="inlineStr"/>
      <c r="G50" s="3">
        <f>IF($E50="","",VLOOKUP($E50,RECORD_ITEMS!$A:$T,6,FALSE))</f>
        <v/>
      </c>
      <c r="H50" s="3">
        <f>IF($G50="","",LEN(TRIM($G50))-LEN(SUBSTITUTE(TRIM($G50)," ",""))+1)</f>
        <v/>
      </c>
      <c r="I50" s="3">
        <f>IF($H50="","",IF(AND($H50&gt;=8,$H50&lt;=20),"YES","NO"))</f>
        <v/>
      </c>
      <c r="J50" s="3" t="inlineStr"/>
      <c r="K50" s="3">
        <f>IF($A50="","",IF($I50="YES","READY_TO_COPY","UPGRADE_ANCHOR"))</f>
        <v/>
      </c>
    </row>
    <row r="51">
      <c r="A51" s="3" t="inlineStr"/>
      <c r="B51" s="3" t="inlineStr"/>
      <c r="C51" s="3" t="inlineStr"/>
      <c r="D51" s="3" t="inlineStr"/>
      <c r="E51" s="3" t="inlineStr"/>
      <c r="F51" s="3" t="inlineStr"/>
      <c r="G51" s="3">
        <f>IF($E51="","",VLOOKUP($E51,RECORD_ITEMS!$A:$T,6,FALSE))</f>
        <v/>
      </c>
      <c r="H51" s="3">
        <f>IF($G51="","",LEN(TRIM($G51))-LEN(SUBSTITUTE(TRIM($G51)," ",""))+1)</f>
        <v/>
      </c>
      <c r="I51" s="3">
        <f>IF($H51="","",IF(AND($H51&gt;=8,$H51&lt;=20),"YES","NO"))</f>
        <v/>
      </c>
      <c r="J51" s="3" t="inlineStr"/>
      <c r="K51" s="3">
        <f>IF($A51="","",IF($I51="YES","READY_TO_COPY","UPGRADE_ANCHOR"))</f>
        <v/>
      </c>
    </row>
    <row r="52">
      <c r="A52" s="3" t="inlineStr"/>
      <c r="B52" s="3" t="inlineStr"/>
      <c r="C52" s="3" t="inlineStr"/>
      <c r="D52" s="3" t="inlineStr"/>
      <c r="E52" s="3" t="inlineStr"/>
      <c r="F52" s="3" t="inlineStr"/>
      <c r="G52" s="3">
        <f>IF($E52="","",VLOOKUP($E52,RECORD_ITEMS!$A:$T,6,FALSE))</f>
        <v/>
      </c>
      <c r="H52" s="3">
        <f>IF($G52="","",LEN(TRIM($G52))-LEN(SUBSTITUTE(TRIM($G52)," ",""))+1)</f>
        <v/>
      </c>
      <c r="I52" s="3">
        <f>IF($H52="","",IF(AND($H52&gt;=8,$H52&lt;=20),"YES","NO"))</f>
        <v/>
      </c>
      <c r="J52" s="3" t="inlineStr"/>
      <c r="K52" s="3">
        <f>IF($A52="","",IF($I52="YES","READY_TO_COPY","UPGRADE_ANCHOR"))</f>
        <v/>
      </c>
    </row>
    <row r="53">
      <c r="A53" s="3" t="inlineStr"/>
      <c r="B53" s="3" t="inlineStr"/>
      <c r="C53" s="3" t="inlineStr"/>
      <c r="D53" s="3" t="inlineStr"/>
      <c r="E53" s="3" t="inlineStr"/>
      <c r="F53" s="3" t="inlineStr"/>
      <c r="G53" s="3">
        <f>IF($E53="","",VLOOKUP($E53,RECORD_ITEMS!$A:$T,6,FALSE))</f>
        <v/>
      </c>
      <c r="H53" s="3">
        <f>IF($G53="","",LEN(TRIM($G53))-LEN(SUBSTITUTE(TRIM($G53)," ",""))+1)</f>
        <v/>
      </c>
      <c r="I53" s="3">
        <f>IF($H53="","",IF(AND($H53&gt;=8,$H53&lt;=20),"YES","NO"))</f>
        <v/>
      </c>
      <c r="J53" s="3" t="inlineStr"/>
      <c r="K53" s="3">
        <f>IF($A53="","",IF($I53="YES","READY_TO_COPY","UPGRADE_ANCHOR"))</f>
        <v/>
      </c>
    </row>
    <row r="54">
      <c r="A54" s="3" t="inlineStr"/>
      <c r="B54" s="3" t="inlineStr"/>
      <c r="C54" s="3" t="inlineStr"/>
      <c r="D54" s="3" t="inlineStr"/>
      <c r="E54" s="3" t="inlineStr"/>
      <c r="F54" s="3" t="inlineStr"/>
      <c r="G54" s="3">
        <f>IF($E54="","",VLOOKUP($E54,RECORD_ITEMS!$A:$T,6,FALSE))</f>
        <v/>
      </c>
      <c r="H54" s="3">
        <f>IF($G54="","",LEN(TRIM($G54))-LEN(SUBSTITUTE(TRIM($G54)," ",""))+1)</f>
        <v/>
      </c>
      <c r="I54" s="3">
        <f>IF($H54="","",IF(AND($H54&gt;=8,$H54&lt;=20),"YES","NO"))</f>
        <v/>
      </c>
      <c r="J54" s="3" t="inlineStr"/>
      <c r="K54" s="3">
        <f>IF($A54="","",IF($I54="YES","READY_TO_COPY","UPGRADE_ANCHOR"))</f>
        <v/>
      </c>
    </row>
    <row r="55">
      <c r="A55" s="3" t="inlineStr"/>
      <c r="B55" s="3" t="inlineStr"/>
      <c r="C55" s="3" t="inlineStr"/>
      <c r="D55" s="3" t="inlineStr"/>
      <c r="E55" s="3" t="inlineStr"/>
      <c r="F55" s="3" t="inlineStr"/>
      <c r="G55" s="3">
        <f>IF($E55="","",VLOOKUP($E55,RECORD_ITEMS!$A:$T,6,FALSE))</f>
        <v/>
      </c>
      <c r="H55" s="3">
        <f>IF($G55="","",LEN(TRIM($G55))-LEN(SUBSTITUTE(TRIM($G55)," ",""))+1)</f>
        <v/>
      </c>
      <c r="I55" s="3">
        <f>IF($H55="","",IF(AND($H55&gt;=8,$H55&lt;=20),"YES","NO"))</f>
        <v/>
      </c>
      <c r="J55" s="3" t="inlineStr"/>
      <c r="K55" s="3">
        <f>IF($A55="","",IF($I55="YES","READY_TO_COPY","UPGRADE_ANCHOR"))</f>
        <v/>
      </c>
    </row>
    <row r="56">
      <c r="A56" s="3" t="inlineStr"/>
      <c r="B56" s="3" t="inlineStr"/>
      <c r="C56" s="3" t="inlineStr"/>
      <c r="D56" s="3" t="inlineStr"/>
      <c r="E56" s="3" t="inlineStr"/>
      <c r="F56" s="3" t="inlineStr"/>
      <c r="G56" s="3">
        <f>IF($E56="","",VLOOKUP($E56,RECORD_ITEMS!$A:$T,6,FALSE))</f>
        <v/>
      </c>
      <c r="H56" s="3">
        <f>IF($G56="","",LEN(TRIM($G56))-LEN(SUBSTITUTE(TRIM($G56)," ",""))+1)</f>
        <v/>
      </c>
      <c r="I56" s="3">
        <f>IF($H56="","",IF(AND($H56&gt;=8,$H56&lt;=20),"YES","NO"))</f>
        <v/>
      </c>
      <c r="J56" s="3" t="inlineStr"/>
      <c r="K56" s="3">
        <f>IF($A56="","",IF($I56="YES","READY_TO_COPY","UPGRADE_ANCHOR"))</f>
        <v/>
      </c>
    </row>
    <row r="57">
      <c r="A57" s="3" t="inlineStr"/>
      <c r="B57" s="3" t="inlineStr"/>
      <c r="C57" s="3" t="inlineStr"/>
      <c r="D57" s="3" t="inlineStr"/>
      <c r="E57" s="3" t="inlineStr"/>
      <c r="F57" s="3" t="inlineStr"/>
      <c r="G57" s="3">
        <f>IF($E57="","",VLOOKUP($E57,RECORD_ITEMS!$A:$T,6,FALSE))</f>
        <v/>
      </c>
      <c r="H57" s="3">
        <f>IF($G57="","",LEN(TRIM($G57))-LEN(SUBSTITUTE(TRIM($G57)," ",""))+1)</f>
        <v/>
      </c>
      <c r="I57" s="3">
        <f>IF($H57="","",IF(AND($H57&gt;=8,$H57&lt;=20),"YES","NO"))</f>
        <v/>
      </c>
      <c r="J57" s="3" t="inlineStr"/>
      <c r="K57" s="3">
        <f>IF($A57="","",IF($I57="YES","READY_TO_COPY","UPGRADE_ANCHOR"))</f>
        <v/>
      </c>
    </row>
    <row r="58">
      <c r="A58" s="3" t="inlineStr"/>
      <c r="B58" s="3" t="inlineStr"/>
      <c r="C58" s="3" t="inlineStr"/>
      <c r="D58" s="3" t="inlineStr"/>
      <c r="E58" s="3" t="inlineStr"/>
      <c r="F58" s="3" t="inlineStr"/>
      <c r="G58" s="3">
        <f>IF($E58="","",VLOOKUP($E58,RECORD_ITEMS!$A:$T,6,FALSE))</f>
        <v/>
      </c>
      <c r="H58" s="3">
        <f>IF($G58="","",LEN(TRIM($G58))-LEN(SUBSTITUTE(TRIM($G58)," ",""))+1)</f>
        <v/>
      </c>
      <c r="I58" s="3">
        <f>IF($H58="","",IF(AND($H58&gt;=8,$H58&lt;=20),"YES","NO"))</f>
        <v/>
      </c>
      <c r="J58" s="3" t="inlineStr"/>
      <c r="K58" s="3">
        <f>IF($A58="","",IF($I58="YES","READY_TO_COPY","UPGRADE_ANCHOR"))</f>
        <v/>
      </c>
    </row>
    <row r="59">
      <c r="A59" s="3" t="inlineStr"/>
      <c r="B59" s="3" t="inlineStr"/>
      <c r="C59" s="3" t="inlineStr"/>
      <c r="D59" s="3" t="inlineStr"/>
      <c r="E59" s="3" t="inlineStr"/>
      <c r="F59" s="3" t="inlineStr"/>
      <c r="G59" s="3">
        <f>IF($E59="","",VLOOKUP($E59,RECORD_ITEMS!$A:$T,6,FALSE))</f>
        <v/>
      </c>
      <c r="H59" s="3">
        <f>IF($G59="","",LEN(TRIM($G59))-LEN(SUBSTITUTE(TRIM($G59)," ",""))+1)</f>
        <v/>
      </c>
      <c r="I59" s="3">
        <f>IF($H59="","",IF(AND($H59&gt;=8,$H59&lt;=20),"YES","NO"))</f>
        <v/>
      </c>
      <c r="J59" s="3" t="inlineStr"/>
      <c r="K59" s="3">
        <f>IF($A59="","",IF($I59="YES","READY_TO_COPY","UPGRADE_ANCHOR"))</f>
        <v/>
      </c>
    </row>
    <row r="60">
      <c r="A60" s="3" t="inlineStr"/>
      <c r="B60" s="3" t="inlineStr"/>
      <c r="C60" s="3" t="inlineStr"/>
      <c r="D60" s="3" t="inlineStr"/>
      <c r="E60" s="3" t="inlineStr"/>
      <c r="F60" s="3" t="inlineStr"/>
      <c r="G60" s="3">
        <f>IF($E60="","",VLOOKUP($E60,RECORD_ITEMS!$A:$T,6,FALSE))</f>
        <v/>
      </c>
      <c r="H60" s="3">
        <f>IF($G60="","",LEN(TRIM($G60))-LEN(SUBSTITUTE(TRIM($G60)," ",""))+1)</f>
        <v/>
      </c>
      <c r="I60" s="3">
        <f>IF($H60="","",IF(AND($H60&gt;=8,$H60&lt;=20),"YES","NO"))</f>
        <v/>
      </c>
      <c r="J60" s="3" t="inlineStr"/>
      <c r="K60" s="3">
        <f>IF($A60="","",IF($I60="YES","READY_TO_COPY","UPGRADE_ANCHOR"))</f>
        <v/>
      </c>
    </row>
    <row r="61">
      <c r="A61" s="3" t="inlineStr"/>
      <c r="B61" s="3" t="inlineStr"/>
      <c r="C61" s="3" t="inlineStr"/>
      <c r="D61" s="3" t="inlineStr"/>
      <c r="E61" s="3" t="inlineStr"/>
      <c r="F61" s="3" t="inlineStr"/>
      <c r="G61" s="3">
        <f>IF($E61="","",VLOOKUP($E61,RECORD_ITEMS!$A:$T,6,FALSE))</f>
        <v/>
      </c>
      <c r="H61" s="3">
        <f>IF($G61="","",LEN(TRIM($G61))-LEN(SUBSTITUTE(TRIM($G61)," ",""))+1)</f>
        <v/>
      </c>
      <c r="I61" s="3">
        <f>IF($H61="","",IF(AND($H61&gt;=8,$H61&lt;=20),"YES","NO"))</f>
        <v/>
      </c>
      <c r="J61" s="3" t="inlineStr"/>
      <c r="K61" s="3">
        <f>IF($A61="","",IF($I61="YES","READY_TO_COPY","UPGRADE_ANCHOR"))</f>
        <v/>
      </c>
    </row>
    <row r="62">
      <c r="A62" s="3" t="inlineStr"/>
      <c r="B62" s="3" t="inlineStr"/>
      <c r="C62" s="3" t="inlineStr"/>
      <c r="D62" s="3" t="inlineStr"/>
      <c r="E62" s="3" t="inlineStr"/>
      <c r="F62" s="3" t="inlineStr"/>
      <c r="G62" s="3">
        <f>IF($E62="","",VLOOKUP($E62,RECORD_ITEMS!$A:$T,6,FALSE))</f>
        <v/>
      </c>
      <c r="H62" s="3">
        <f>IF($G62="","",LEN(TRIM($G62))-LEN(SUBSTITUTE(TRIM($G62)," ",""))+1)</f>
        <v/>
      </c>
      <c r="I62" s="3">
        <f>IF($H62="","",IF(AND($H62&gt;=8,$H62&lt;=20),"YES","NO"))</f>
        <v/>
      </c>
      <c r="J62" s="3" t="inlineStr"/>
      <c r="K62" s="3">
        <f>IF($A62="","",IF($I62="YES","READY_TO_COPY","UPGRADE_ANCHOR"))</f>
        <v/>
      </c>
    </row>
    <row r="63">
      <c r="A63" s="3" t="inlineStr"/>
      <c r="B63" s="3" t="inlineStr"/>
      <c r="C63" s="3" t="inlineStr"/>
      <c r="D63" s="3" t="inlineStr"/>
      <c r="E63" s="3" t="inlineStr"/>
      <c r="F63" s="3" t="inlineStr"/>
      <c r="G63" s="3">
        <f>IF($E63="","",VLOOKUP($E63,RECORD_ITEMS!$A:$T,6,FALSE))</f>
        <v/>
      </c>
      <c r="H63" s="3">
        <f>IF($G63="","",LEN(TRIM($G63))-LEN(SUBSTITUTE(TRIM($G63)," ",""))+1)</f>
        <v/>
      </c>
      <c r="I63" s="3">
        <f>IF($H63="","",IF(AND($H63&gt;=8,$H63&lt;=20),"YES","NO"))</f>
        <v/>
      </c>
      <c r="J63" s="3" t="inlineStr"/>
      <c r="K63" s="3">
        <f>IF($A63="","",IF($I63="YES","READY_TO_COPY","UPGRADE_ANCHOR"))</f>
        <v/>
      </c>
    </row>
    <row r="64">
      <c r="A64" s="3" t="inlineStr"/>
      <c r="B64" s="3" t="inlineStr"/>
      <c r="C64" s="3" t="inlineStr"/>
      <c r="D64" s="3" t="inlineStr"/>
      <c r="E64" s="3" t="inlineStr"/>
      <c r="F64" s="3" t="inlineStr"/>
      <c r="G64" s="3">
        <f>IF($E64="","",VLOOKUP($E64,RECORD_ITEMS!$A:$T,6,FALSE))</f>
        <v/>
      </c>
      <c r="H64" s="3">
        <f>IF($G64="","",LEN(TRIM($G64))-LEN(SUBSTITUTE(TRIM($G64)," ",""))+1)</f>
        <v/>
      </c>
      <c r="I64" s="3">
        <f>IF($H64="","",IF(AND($H64&gt;=8,$H64&lt;=20),"YES","NO"))</f>
        <v/>
      </c>
      <c r="J64" s="3" t="inlineStr"/>
      <c r="K64" s="3">
        <f>IF($A64="","",IF($I64="YES","READY_TO_COPY","UPGRADE_ANCHOR"))</f>
        <v/>
      </c>
    </row>
    <row r="65">
      <c r="A65" s="3" t="inlineStr"/>
      <c r="B65" s="3" t="inlineStr"/>
      <c r="C65" s="3" t="inlineStr"/>
      <c r="D65" s="3" t="inlineStr"/>
      <c r="E65" s="3" t="inlineStr"/>
      <c r="F65" s="3" t="inlineStr"/>
      <c r="G65" s="3">
        <f>IF($E65="","",VLOOKUP($E65,RECORD_ITEMS!$A:$T,6,FALSE))</f>
        <v/>
      </c>
      <c r="H65" s="3">
        <f>IF($G65="","",LEN(TRIM($G65))-LEN(SUBSTITUTE(TRIM($G65)," ",""))+1)</f>
        <v/>
      </c>
      <c r="I65" s="3">
        <f>IF($H65="","",IF(AND($H65&gt;=8,$H65&lt;=20),"YES","NO"))</f>
        <v/>
      </c>
      <c r="J65" s="3" t="inlineStr"/>
      <c r="K65" s="3">
        <f>IF($A65="","",IF($I65="YES","READY_TO_COPY","UPGRADE_ANCHOR"))</f>
        <v/>
      </c>
    </row>
    <row r="66">
      <c r="A66" s="3" t="inlineStr"/>
      <c r="B66" s="3" t="inlineStr"/>
      <c r="C66" s="3" t="inlineStr"/>
      <c r="D66" s="3" t="inlineStr"/>
      <c r="E66" s="3" t="inlineStr"/>
      <c r="F66" s="3" t="inlineStr"/>
      <c r="G66" s="3">
        <f>IF($E66="","",VLOOKUP($E66,RECORD_ITEMS!$A:$T,6,FALSE))</f>
        <v/>
      </c>
      <c r="H66" s="3">
        <f>IF($G66="","",LEN(TRIM($G66))-LEN(SUBSTITUTE(TRIM($G66)," ",""))+1)</f>
        <v/>
      </c>
      <c r="I66" s="3">
        <f>IF($H66="","",IF(AND($H66&gt;=8,$H66&lt;=20),"YES","NO"))</f>
        <v/>
      </c>
      <c r="J66" s="3" t="inlineStr"/>
      <c r="K66" s="3">
        <f>IF($A66="","",IF($I66="YES","READY_TO_COPY","UPGRADE_ANCHOR"))</f>
        <v/>
      </c>
    </row>
    <row r="67">
      <c r="A67" s="3" t="inlineStr"/>
      <c r="B67" s="3" t="inlineStr"/>
      <c r="C67" s="3" t="inlineStr"/>
      <c r="D67" s="3" t="inlineStr"/>
      <c r="E67" s="3" t="inlineStr"/>
      <c r="F67" s="3" t="inlineStr"/>
      <c r="G67" s="3">
        <f>IF($E67="","",VLOOKUP($E67,RECORD_ITEMS!$A:$T,6,FALSE))</f>
        <v/>
      </c>
      <c r="H67" s="3">
        <f>IF($G67="","",LEN(TRIM($G67))-LEN(SUBSTITUTE(TRIM($G67)," ",""))+1)</f>
        <v/>
      </c>
      <c r="I67" s="3">
        <f>IF($H67="","",IF(AND($H67&gt;=8,$H67&lt;=20),"YES","NO"))</f>
        <v/>
      </c>
      <c r="J67" s="3" t="inlineStr"/>
      <c r="K67" s="3">
        <f>IF($A67="","",IF($I67="YES","READY_TO_COPY","UPGRADE_ANCHOR"))</f>
        <v/>
      </c>
    </row>
    <row r="68">
      <c r="A68" s="3" t="inlineStr"/>
      <c r="B68" s="3" t="inlineStr"/>
      <c r="C68" s="3" t="inlineStr"/>
      <c r="D68" s="3" t="inlineStr"/>
      <c r="E68" s="3" t="inlineStr"/>
      <c r="F68" s="3" t="inlineStr"/>
      <c r="G68" s="3">
        <f>IF($E68="","",VLOOKUP($E68,RECORD_ITEMS!$A:$T,6,FALSE))</f>
        <v/>
      </c>
      <c r="H68" s="3">
        <f>IF($G68="","",LEN(TRIM($G68))-LEN(SUBSTITUTE(TRIM($G68)," ",""))+1)</f>
        <v/>
      </c>
      <c r="I68" s="3">
        <f>IF($H68="","",IF(AND($H68&gt;=8,$H68&lt;=20),"YES","NO"))</f>
        <v/>
      </c>
      <c r="J68" s="3" t="inlineStr"/>
      <c r="K68" s="3">
        <f>IF($A68="","",IF($I68="YES","READY_TO_COPY","UPGRADE_ANCHOR"))</f>
        <v/>
      </c>
    </row>
    <row r="69">
      <c r="A69" s="3" t="inlineStr"/>
      <c r="B69" s="3" t="inlineStr"/>
      <c r="C69" s="3" t="inlineStr"/>
      <c r="D69" s="3" t="inlineStr"/>
      <c r="E69" s="3" t="inlineStr"/>
      <c r="F69" s="3" t="inlineStr"/>
      <c r="G69" s="3">
        <f>IF($E69="","",VLOOKUP($E69,RECORD_ITEMS!$A:$T,6,FALSE))</f>
        <v/>
      </c>
      <c r="H69" s="3">
        <f>IF($G69="","",LEN(TRIM($G69))-LEN(SUBSTITUTE(TRIM($G69)," ",""))+1)</f>
        <v/>
      </c>
      <c r="I69" s="3">
        <f>IF($H69="","",IF(AND($H69&gt;=8,$H69&lt;=20),"YES","NO"))</f>
        <v/>
      </c>
      <c r="J69" s="3" t="inlineStr"/>
      <c r="K69" s="3">
        <f>IF($A69="","",IF($I69="YES","READY_TO_COPY","UPGRADE_ANCHOR"))</f>
        <v/>
      </c>
    </row>
    <row r="70">
      <c r="A70" s="3" t="inlineStr"/>
      <c r="B70" s="3" t="inlineStr"/>
      <c r="C70" s="3" t="inlineStr"/>
      <c r="D70" s="3" t="inlineStr"/>
      <c r="E70" s="3" t="inlineStr"/>
      <c r="F70" s="3" t="inlineStr"/>
      <c r="G70" s="3">
        <f>IF($E70="","",VLOOKUP($E70,RECORD_ITEMS!$A:$T,6,FALSE))</f>
        <v/>
      </c>
      <c r="H70" s="3">
        <f>IF($G70="","",LEN(TRIM($G70))-LEN(SUBSTITUTE(TRIM($G70)," ",""))+1)</f>
        <v/>
      </c>
      <c r="I70" s="3">
        <f>IF($H70="","",IF(AND($H70&gt;=8,$H70&lt;=20),"YES","NO"))</f>
        <v/>
      </c>
      <c r="J70" s="3" t="inlineStr"/>
      <c r="K70" s="3">
        <f>IF($A70="","",IF($I70="YES","READY_TO_COPY","UPGRADE_ANCHOR"))</f>
        <v/>
      </c>
    </row>
    <row r="71">
      <c r="A71" s="3" t="inlineStr"/>
      <c r="B71" s="3" t="inlineStr"/>
      <c r="C71" s="3" t="inlineStr"/>
      <c r="D71" s="3" t="inlineStr"/>
      <c r="E71" s="3" t="inlineStr"/>
      <c r="F71" s="3" t="inlineStr"/>
      <c r="G71" s="3">
        <f>IF($E71="","",VLOOKUP($E71,RECORD_ITEMS!$A:$T,6,FALSE))</f>
        <v/>
      </c>
      <c r="H71" s="3">
        <f>IF($G71="","",LEN(TRIM($G71))-LEN(SUBSTITUTE(TRIM($G71)," ",""))+1)</f>
        <v/>
      </c>
      <c r="I71" s="3">
        <f>IF($H71="","",IF(AND($H71&gt;=8,$H71&lt;=20),"YES","NO"))</f>
        <v/>
      </c>
      <c r="J71" s="3" t="inlineStr"/>
      <c r="K71" s="3">
        <f>IF($A71="","",IF($I71="YES","READY_TO_COPY","UPGRADE_ANCHOR"))</f>
        <v/>
      </c>
    </row>
    <row r="72">
      <c r="A72" s="3" t="inlineStr"/>
      <c r="B72" s="3" t="inlineStr"/>
      <c r="C72" s="3" t="inlineStr"/>
      <c r="D72" s="3" t="inlineStr"/>
      <c r="E72" s="3" t="inlineStr"/>
      <c r="F72" s="3" t="inlineStr"/>
      <c r="G72" s="3">
        <f>IF($E72="","",VLOOKUP($E72,RECORD_ITEMS!$A:$T,6,FALSE))</f>
        <v/>
      </c>
      <c r="H72" s="3">
        <f>IF($G72="","",LEN(TRIM($G72))-LEN(SUBSTITUTE(TRIM($G72)," ",""))+1)</f>
        <v/>
      </c>
      <c r="I72" s="3">
        <f>IF($H72="","",IF(AND($H72&gt;=8,$H72&lt;=20),"YES","NO"))</f>
        <v/>
      </c>
      <c r="J72" s="3" t="inlineStr"/>
      <c r="K72" s="3">
        <f>IF($A72="","",IF($I72="YES","READY_TO_COPY","UPGRADE_ANCHOR"))</f>
        <v/>
      </c>
    </row>
    <row r="73">
      <c r="A73" s="3" t="inlineStr"/>
      <c r="B73" s="3" t="inlineStr"/>
      <c r="C73" s="3" t="inlineStr"/>
      <c r="D73" s="3" t="inlineStr"/>
      <c r="E73" s="3" t="inlineStr"/>
      <c r="F73" s="3" t="inlineStr"/>
      <c r="G73" s="3">
        <f>IF($E73="","",VLOOKUP($E73,RECORD_ITEMS!$A:$T,6,FALSE))</f>
        <v/>
      </c>
      <c r="H73" s="3">
        <f>IF($G73="","",LEN(TRIM($G73))-LEN(SUBSTITUTE(TRIM($G73)," ",""))+1)</f>
        <v/>
      </c>
      <c r="I73" s="3">
        <f>IF($H73="","",IF(AND($H73&gt;=8,$H73&lt;=20),"YES","NO"))</f>
        <v/>
      </c>
      <c r="J73" s="3" t="inlineStr"/>
      <c r="K73" s="3">
        <f>IF($A73="","",IF($I73="YES","READY_TO_COPY","UPGRADE_ANCHOR"))</f>
        <v/>
      </c>
    </row>
    <row r="74">
      <c r="A74" s="3" t="inlineStr"/>
      <c r="B74" s="3" t="inlineStr"/>
      <c r="C74" s="3" t="inlineStr"/>
      <c r="D74" s="3" t="inlineStr"/>
      <c r="E74" s="3" t="inlineStr"/>
      <c r="F74" s="3" t="inlineStr"/>
      <c r="G74" s="3">
        <f>IF($E74="","",VLOOKUP($E74,RECORD_ITEMS!$A:$T,6,FALSE))</f>
        <v/>
      </c>
      <c r="H74" s="3">
        <f>IF($G74="","",LEN(TRIM($G74))-LEN(SUBSTITUTE(TRIM($G74)," ",""))+1)</f>
        <v/>
      </c>
      <c r="I74" s="3">
        <f>IF($H74="","",IF(AND($H74&gt;=8,$H74&lt;=20),"YES","NO"))</f>
        <v/>
      </c>
      <c r="J74" s="3" t="inlineStr"/>
      <c r="K74" s="3">
        <f>IF($A74="","",IF($I74="YES","READY_TO_COPY","UPGRADE_ANCHOR"))</f>
        <v/>
      </c>
    </row>
    <row r="75">
      <c r="A75" s="3" t="inlineStr"/>
      <c r="B75" s="3" t="inlineStr"/>
      <c r="C75" s="3" t="inlineStr"/>
      <c r="D75" s="3" t="inlineStr"/>
      <c r="E75" s="3" t="inlineStr"/>
      <c r="F75" s="3" t="inlineStr"/>
      <c r="G75" s="3">
        <f>IF($E75="","",VLOOKUP($E75,RECORD_ITEMS!$A:$T,6,FALSE))</f>
        <v/>
      </c>
      <c r="H75" s="3">
        <f>IF($G75="","",LEN(TRIM($G75))-LEN(SUBSTITUTE(TRIM($G75)," ",""))+1)</f>
        <v/>
      </c>
      <c r="I75" s="3">
        <f>IF($H75="","",IF(AND($H75&gt;=8,$H75&lt;=20),"YES","NO"))</f>
        <v/>
      </c>
      <c r="J75" s="3" t="inlineStr"/>
      <c r="K75" s="3">
        <f>IF($A75="","",IF($I75="YES","READY_TO_COPY","UPGRADE_ANCHOR"))</f>
        <v/>
      </c>
    </row>
    <row r="76">
      <c r="A76" s="3" t="inlineStr"/>
      <c r="B76" s="3" t="inlineStr"/>
      <c r="C76" s="3" t="inlineStr"/>
      <c r="D76" s="3" t="inlineStr"/>
      <c r="E76" s="3" t="inlineStr"/>
      <c r="F76" s="3" t="inlineStr"/>
      <c r="G76" s="3">
        <f>IF($E76="","",VLOOKUP($E76,RECORD_ITEMS!$A:$T,6,FALSE))</f>
        <v/>
      </c>
      <c r="H76" s="3">
        <f>IF($G76="","",LEN(TRIM($G76))-LEN(SUBSTITUTE(TRIM($G76)," ",""))+1)</f>
        <v/>
      </c>
      <c r="I76" s="3">
        <f>IF($H76="","",IF(AND($H76&gt;=8,$H76&lt;=20),"YES","NO"))</f>
        <v/>
      </c>
      <c r="J76" s="3" t="inlineStr"/>
      <c r="K76" s="3">
        <f>IF($A76="","",IF($I76="YES","READY_TO_COPY","UPGRADE_ANCHOR"))</f>
        <v/>
      </c>
    </row>
    <row r="77">
      <c r="A77" s="3" t="inlineStr"/>
      <c r="B77" s="3" t="inlineStr"/>
      <c r="C77" s="3" t="inlineStr"/>
      <c r="D77" s="3" t="inlineStr"/>
      <c r="E77" s="3" t="inlineStr"/>
      <c r="F77" s="3" t="inlineStr"/>
      <c r="G77" s="3">
        <f>IF($E77="","",VLOOKUP($E77,RECORD_ITEMS!$A:$T,6,FALSE))</f>
        <v/>
      </c>
      <c r="H77" s="3">
        <f>IF($G77="","",LEN(TRIM($G77))-LEN(SUBSTITUTE(TRIM($G77)," ",""))+1)</f>
        <v/>
      </c>
      <c r="I77" s="3">
        <f>IF($H77="","",IF(AND($H77&gt;=8,$H77&lt;=20),"YES","NO"))</f>
        <v/>
      </c>
      <c r="J77" s="3" t="inlineStr"/>
      <c r="K77" s="3">
        <f>IF($A77="","",IF($I77="YES","READY_TO_COPY","UPGRADE_ANCHOR"))</f>
        <v/>
      </c>
    </row>
    <row r="78">
      <c r="A78" s="3" t="inlineStr"/>
      <c r="B78" s="3" t="inlineStr"/>
      <c r="C78" s="3" t="inlineStr"/>
      <c r="D78" s="3" t="inlineStr"/>
      <c r="E78" s="3" t="inlineStr"/>
      <c r="F78" s="3" t="inlineStr"/>
      <c r="G78" s="3">
        <f>IF($E78="","",VLOOKUP($E78,RECORD_ITEMS!$A:$T,6,FALSE))</f>
        <v/>
      </c>
      <c r="H78" s="3">
        <f>IF($G78="","",LEN(TRIM($G78))-LEN(SUBSTITUTE(TRIM($G78)," ",""))+1)</f>
        <v/>
      </c>
      <c r="I78" s="3">
        <f>IF($H78="","",IF(AND($H78&gt;=8,$H78&lt;=20),"YES","NO"))</f>
        <v/>
      </c>
      <c r="J78" s="3" t="inlineStr"/>
      <c r="K78" s="3">
        <f>IF($A78="","",IF($I78="YES","READY_TO_COPY","UPGRADE_ANCHOR"))</f>
        <v/>
      </c>
    </row>
    <row r="79">
      <c r="A79" s="3" t="inlineStr"/>
      <c r="B79" s="3" t="inlineStr"/>
      <c r="C79" s="3" t="inlineStr"/>
      <c r="D79" s="3" t="inlineStr"/>
      <c r="E79" s="3" t="inlineStr"/>
      <c r="F79" s="3" t="inlineStr"/>
      <c r="G79" s="3">
        <f>IF($E79="","",VLOOKUP($E79,RECORD_ITEMS!$A:$T,6,FALSE))</f>
        <v/>
      </c>
      <c r="H79" s="3">
        <f>IF($G79="","",LEN(TRIM($G79))-LEN(SUBSTITUTE(TRIM($G79)," ",""))+1)</f>
        <v/>
      </c>
      <c r="I79" s="3">
        <f>IF($H79="","",IF(AND($H79&gt;=8,$H79&lt;=20),"YES","NO"))</f>
        <v/>
      </c>
      <c r="J79" s="3" t="inlineStr"/>
      <c r="K79" s="3">
        <f>IF($A79="","",IF($I79="YES","READY_TO_COPY","UPGRADE_ANCHOR"))</f>
        <v/>
      </c>
    </row>
    <row r="80">
      <c r="A80" s="3" t="inlineStr"/>
      <c r="B80" s="3" t="inlineStr"/>
      <c r="C80" s="3" t="inlineStr"/>
      <c r="D80" s="3" t="inlineStr"/>
      <c r="E80" s="3" t="inlineStr"/>
      <c r="F80" s="3" t="inlineStr"/>
      <c r="G80" s="3">
        <f>IF($E80="","",VLOOKUP($E80,RECORD_ITEMS!$A:$T,6,FALSE))</f>
        <v/>
      </c>
      <c r="H80" s="3">
        <f>IF($G80="","",LEN(TRIM($G80))-LEN(SUBSTITUTE(TRIM($G80)," ",""))+1)</f>
        <v/>
      </c>
      <c r="I80" s="3">
        <f>IF($H80="","",IF(AND($H80&gt;=8,$H80&lt;=20),"YES","NO"))</f>
        <v/>
      </c>
      <c r="J80" s="3" t="inlineStr"/>
      <c r="K80" s="3">
        <f>IF($A80="","",IF($I80="YES","READY_TO_COPY","UPGRADE_ANCHOR"))</f>
        <v/>
      </c>
    </row>
    <row r="81">
      <c r="A81" s="3" t="inlineStr"/>
      <c r="B81" s="3" t="inlineStr"/>
      <c r="C81" s="3" t="inlineStr"/>
      <c r="D81" s="3" t="inlineStr"/>
      <c r="E81" s="3" t="inlineStr"/>
      <c r="F81" s="3" t="inlineStr"/>
      <c r="G81" s="3">
        <f>IF($E81="","",VLOOKUP($E81,RECORD_ITEMS!$A:$T,6,FALSE))</f>
        <v/>
      </c>
      <c r="H81" s="3">
        <f>IF($G81="","",LEN(TRIM($G81))-LEN(SUBSTITUTE(TRIM($G81)," ",""))+1)</f>
        <v/>
      </c>
      <c r="I81" s="3">
        <f>IF($H81="","",IF(AND($H81&gt;=8,$H81&lt;=20),"YES","NO"))</f>
        <v/>
      </c>
      <c r="J81" s="3" t="inlineStr"/>
      <c r="K81" s="3">
        <f>IF($A81="","",IF($I81="YES","READY_TO_COPY","UPGRADE_ANCHOR"))</f>
        <v/>
      </c>
    </row>
    <row r="82">
      <c r="A82" s="3" t="inlineStr"/>
      <c r="B82" s="3" t="inlineStr"/>
      <c r="C82" s="3" t="inlineStr"/>
      <c r="D82" s="3" t="inlineStr"/>
      <c r="E82" s="3" t="inlineStr"/>
      <c r="F82" s="3" t="inlineStr"/>
      <c r="G82" s="3">
        <f>IF($E82="","",VLOOKUP($E82,RECORD_ITEMS!$A:$T,6,FALSE))</f>
        <v/>
      </c>
      <c r="H82" s="3">
        <f>IF($G82="","",LEN(TRIM($G82))-LEN(SUBSTITUTE(TRIM($G82)," ",""))+1)</f>
        <v/>
      </c>
      <c r="I82" s="3">
        <f>IF($H82="","",IF(AND($H82&gt;=8,$H82&lt;=20),"YES","NO"))</f>
        <v/>
      </c>
      <c r="J82" s="3" t="inlineStr"/>
      <c r="K82" s="3">
        <f>IF($A82="","",IF($I82="YES","READY_TO_COPY","UPGRADE_ANCHOR"))</f>
        <v/>
      </c>
    </row>
    <row r="83">
      <c r="A83" s="3" t="inlineStr"/>
      <c r="B83" s="3" t="inlineStr"/>
      <c r="C83" s="3" t="inlineStr"/>
      <c r="D83" s="3" t="inlineStr"/>
      <c r="E83" s="3" t="inlineStr"/>
      <c r="F83" s="3" t="inlineStr"/>
      <c r="G83" s="3">
        <f>IF($E83="","",VLOOKUP($E83,RECORD_ITEMS!$A:$T,6,FALSE))</f>
        <v/>
      </c>
      <c r="H83" s="3">
        <f>IF($G83="","",LEN(TRIM($G83))-LEN(SUBSTITUTE(TRIM($G83)," ",""))+1)</f>
        <v/>
      </c>
      <c r="I83" s="3">
        <f>IF($H83="","",IF(AND($H83&gt;=8,$H83&lt;=20),"YES","NO"))</f>
        <v/>
      </c>
      <c r="J83" s="3" t="inlineStr"/>
      <c r="K83" s="3">
        <f>IF($A83="","",IF($I83="YES","READY_TO_COPY","UPGRADE_ANCHOR"))</f>
        <v/>
      </c>
    </row>
    <row r="84">
      <c r="A84" s="3" t="inlineStr"/>
      <c r="B84" s="3" t="inlineStr"/>
      <c r="C84" s="3" t="inlineStr"/>
      <c r="D84" s="3" t="inlineStr"/>
      <c r="E84" s="3" t="inlineStr"/>
      <c r="F84" s="3" t="inlineStr"/>
      <c r="G84" s="3">
        <f>IF($E84="","",VLOOKUP($E84,RECORD_ITEMS!$A:$T,6,FALSE))</f>
        <v/>
      </c>
      <c r="H84" s="3">
        <f>IF($G84="","",LEN(TRIM($G84))-LEN(SUBSTITUTE(TRIM($G84)," ",""))+1)</f>
        <v/>
      </c>
      <c r="I84" s="3">
        <f>IF($H84="","",IF(AND($H84&gt;=8,$H84&lt;=20),"YES","NO"))</f>
        <v/>
      </c>
      <c r="J84" s="3" t="inlineStr"/>
      <c r="K84" s="3">
        <f>IF($A84="","",IF($I84="YES","READY_TO_COPY","UPGRADE_ANCHOR"))</f>
        <v/>
      </c>
    </row>
    <row r="85">
      <c r="A85" s="3" t="inlineStr"/>
      <c r="B85" s="3" t="inlineStr"/>
      <c r="C85" s="3" t="inlineStr"/>
      <c r="D85" s="3" t="inlineStr"/>
      <c r="E85" s="3" t="inlineStr"/>
      <c r="F85" s="3" t="inlineStr"/>
      <c r="G85" s="3">
        <f>IF($E85="","",VLOOKUP($E85,RECORD_ITEMS!$A:$T,6,FALSE))</f>
        <v/>
      </c>
      <c r="H85" s="3">
        <f>IF($G85="","",LEN(TRIM($G85))-LEN(SUBSTITUTE(TRIM($G85)," ",""))+1)</f>
        <v/>
      </c>
      <c r="I85" s="3">
        <f>IF($H85="","",IF(AND($H85&gt;=8,$H85&lt;=20),"YES","NO"))</f>
        <v/>
      </c>
      <c r="J85" s="3" t="inlineStr"/>
      <c r="K85" s="3">
        <f>IF($A85="","",IF($I85="YES","READY_TO_COPY","UPGRADE_ANCHOR"))</f>
        <v/>
      </c>
    </row>
    <row r="86">
      <c r="A86" s="3" t="inlineStr"/>
      <c r="B86" s="3" t="inlineStr"/>
      <c r="C86" s="3" t="inlineStr"/>
      <c r="D86" s="3" t="inlineStr"/>
      <c r="E86" s="3" t="inlineStr"/>
      <c r="F86" s="3" t="inlineStr"/>
      <c r="G86" s="3">
        <f>IF($E86="","",VLOOKUP($E86,RECORD_ITEMS!$A:$T,6,FALSE))</f>
        <v/>
      </c>
      <c r="H86" s="3">
        <f>IF($G86="","",LEN(TRIM($G86))-LEN(SUBSTITUTE(TRIM($G86)," ",""))+1)</f>
        <v/>
      </c>
      <c r="I86" s="3">
        <f>IF($H86="","",IF(AND($H86&gt;=8,$H86&lt;=20),"YES","NO"))</f>
        <v/>
      </c>
      <c r="J86" s="3" t="inlineStr"/>
      <c r="K86" s="3">
        <f>IF($A86="","",IF($I86="YES","READY_TO_COPY","UPGRADE_ANCHOR"))</f>
        <v/>
      </c>
    </row>
    <row r="87">
      <c r="A87" s="3" t="inlineStr"/>
      <c r="B87" s="3" t="inlineStr"/>
      <c r="C87" s="3" t="inlineStr"/>
      <c r="D87" s="3" t="inlineStr"/>
      <c r="E87" s="3" t="inlineStr"/>
      <c r="F87" s="3" t="inlineStr"/>
      <c r="G87" s="3">
        <f>IF($E87="","",VLOOKUP($E87,RECORD_ITEMS!$A:$T,6,FALSE))</f>
        <v/>
      </c>
      <c r="H87" s="3">
        <f>IF($G87="","",LEN(TRIM($G87))-LEN(SUBSTITUTE(TRIM($G87)," ",""))+1)</f>
        <v/>
      </c>
      <c r="I87" s="3">
        <f>IF($H87="","",IF(AND($H87&gt;=8,$H87&lt;=20),"YES","NO"))</f>
        <v/>
      </c>
      <c r="J87" s="3" t="inlineStr"/>
      <c r="K87" s="3">
        <f>IF($A87="","",IF($I87="YES","READY_TO_COPY","UPGRADE_ANCHOR"))</f>
        <v/>
      </c>
    </row>
    <row r="88">
      <c r="A88" s="3" t="inlineStr"/>
      <c r="B88" s="3" t="inlineStr"/>
      <c r="C88" s="3" t="inlineStr"/>
      <c r="D88" s="3" t="inlineStr"/>
      <c r="E88" s="3" t="inlineStr"/>
      <c r="F88" s="3" t="inlineStr"/>
      <c r="G88" s="3">
        <f>IF($E88="","",VLOOKUP($E88,RECORD_ITEMS!$A:$T,6,FALSE))</f>
        <v/>
      </c>
      <c r="H88" s="3">
        <f>IF($G88="","",LEN(TRIM($G88))-LEN(SUBSTITUTE(TRIM($G88)," ",""))+1)</f>
        <v/>
      </c>
      <c r="I88" s="3">
        <f>IF($H88="","",IF(AND($H88&gt;=8,$H88&lt;=20),"YES","NO"))</f>
        <v/>
      </c>
      <c r="J88" s="3" t="inlineStr"/>
      <c r="K88" s="3">
        <f>IF($A88="","",IF($I88="YES","READY_TO_COPY","UPGRADE_ANCHOR"))</f>
        <v/>
      </c>
    </row>
    <row r="89">
      <c r="A89" s="3" t="inlineStr"/>
      <c r="B89" s="3" t="inlineStr"/>
      <c r="C89" s="3" t="inlineStr"/>
      <c r="D89" s="3" t="inlineStr"/>
      <c r="E89" s="3" t="inlineStr"/>
      <c r="F89" s="3" t="inlineStr"/>
      <c r="G89" s="3">
        <f>IF($E89="","",VLOOKUP($E89,RECORD_ITEMS!$A:$T,6,FALSE))</f>
        <v/>
      </c>
      <c r="H89" s="3">
        <f>IF($G89="","",LEN(TRIM($G89))-LEN(SUBSTITUTE(TRIM($G89)," ",""))+1)</f>
        <v/>
      </c>
      <c r="I89" s="3">
        <f>IF($H89="","",IF(AND($H89&gt;=8,$H89&lt;=20),"YES","NO"))</f>
        <v/>
      </c>
      <c r="J89" s="3" t="inlineStr"/>
      <c r="K89" s="3">
        <f>IF($A89="","",IF($I89="YES","READY_TO_COPY","UPGRADE_ANCHOR"))</f>
        <v/>
      </c>
    </row>
    <row r="90">
      <c r="A90" s="3" t="inlineStr"/>
      <c r="B90" s="3" t="inlineStr"/>
      <c r="C90" s="3" t="inlineStr"/>
      <c r="D90" s="3" t="inlineStr"/>
      <c r="E90" s="3" t="inlineStr"/>
      <c r="F90" s="3" t="inlineStr"/>
      <c r="G90" s="3">
        <f>IF($E90="","",VLOOKUP($E90,RECORD_ITEMS!$A:$T,6,FALSE))</f>
        <v/>
      </c>
      <c r="H90" s="3">
        <f>IF($G90="","",LEN(TRIM($G90))-LEN(SUBSTITUTE(TRIM($G90)," ",""))+1)</f>
        <v/>
      </c>
      <c r="I90" s="3">
        <f>IF($H90="","",IF(AND($H90&gt;=8,$H90&lt;=20),"YES","NO"))</f>
        <v/>
      </c>
      <c r="J90" s="3" t="inlineStr"/>
      <c r="K90" s="3">
        <f>IF($A90="","",IF($I90="YES","READY_TO_COPY","UPGRADE_ANCHOR"))</f>
        <v/>
      </c>
    </row>
    <row r="91">
      <c r="A91" s="3" t="inlineStr"/>
      <c r="B91" s="3" t="inlineStr"/>
      <c r="C91" s="3" t="inlineStr"/>
      <c r="D91" s="3" t="inlineStr"/>
      <c r="E91" s="3" t="inlineStr"/>
      <c r="F91" s="3" t="inlineStr"/>
      <c r="G91" s="3">
        <f>IF($E91="","",VLOOKUP($E91,RECORD_ITEMS!$A:$T,6,FALSE))</f>
        <v/>
      </c>
      <c r="H91" s="3">
        <f>IF($G91="","",LEN(TRIM($G91))-LEN(SUBSTITUTE(TRIM($G91)," ",""))+1)</f>
        <v/>
      </c>
      <c r="I91" s="3">
        <f>IF($H91="","",IF(AND($H91&gt;=8,$H91&lt;=20),"YES","NO"))</f>
        <v/>
      </c>
      <c r="J91" s="3" t="inlineStr"/>
      <c r="K91" s="3">
        <f>IF($A91="","",IF($I91="YES","READY_TO_COPY","UPGRADE_ANCHOR"))</f>
        <v/>
      </c>
    </row>
    <row r="92">
      <c r="A92" s="3" t="inlineStr"/>
      <c r="B92" s="3" t="inlineStr"/>
      <c r="C92" s="3" t="inlineStr"/>
      <c r="D92" s="3" t="inlineStr"/>
      <c r="E92" s="3" t="inlineStr"/>
      <c r="F92" s="3" t="inlineStr"/>
      <c r="G92" s="3">
        <f>IF($E92="","",VLOOKUP($E92,RECORD_ITEMS!$A:$T,6,FALSE))</f>
        <v/>
      </c>
      <c r="H92" s="3">
        <f>IF($G92="","",LEN(TRIM($G92))-LEN(SUBSTITUTE(TRIM($G92)," ",""))+1)</f>
        <v/>
      </c>
      <c r="I92" s="3">
        <f>IF($H92="","",IF(AND($H92&gt;=8,$H92&lt;=20),"YES","NO"))</f>
        <v/>
      </c>
      <c r="J92" s="3" t="inlineStr"/>
      <c r="K92" s="3">
        <f>IF($A92="","",IF($I92="YES","READY_TO_COPY","UPGRADE_ANCHOR"))</f>
        <v/>
      </c>
    </row>
    <row r="93">
      <c r="A93" s="3" t="inlineStr"/>
      <c r="B93" s="3" t="inlineStr"/>
      <c r="C93" s="3" t="inlineStr"/>
      <c r="D93" s="3" t="inlineStr"/>
      <c r="E93" s="3" t="inlineStr"/>
      <c r="F93" s="3" t="inlineStr"/>
      <c r="G93" s="3">
        <f>IF($E93="","",VLOOKUP($E93,RECORD_ITEMS!$A:$T,6,FALSE))</f>
        <v/>
      </c>
      <c r="H93" s="3">
        <f>IF($G93="","",LEN(TRIM($G93))-LEN(SUBSTITUTE(TRIM($G93)," ",""))+1)</f>
        <v/>
      </c>
      <c r="I93" s="3">
        <f>IF($H93="","",IF(AND($H93&gt;=8,$H93&lt;=20),"YES","NO"))</f>
        <v/>
      </c>
      <c r="J93" s="3" t="inlineStr"/>
      <c r="K93" s="3">
        <f>IF($A93="","",IF($I93="YES","READY_TO_COPY","UPGRADE_ANCHOR"))</f>
        <v/>
      </c>
    </row>
    <row r="94">
      <c r="A94" s="3" t="inlineStr"/>
      <c r="B94" s="3" t="inlineStr"/>
      <c r="C94" s="3" t="inlineStr"/>
      <c r="D94" s="3" t="inlineStr"/>
      <c r="E94" s="3" t="inlineStr"/>
      <c r="F94" s="3" t="inlineStr"/>
      <c r="G94" s="3">
        <f>IF($E94="","",VLOOKUP($E94,RECORD_ITEMS!$A:$T,6,FALSE))</f>
        <v/>
      </c>
      <c r="H94" s="3">
        <f>IF($G94="","",LEN(TRIM($G94))-LEN(SUBSTITUTE(TRIM($G94)," ",""))+1)</f>
        <v/>
      </c>
      <c r="I94" s="3">
        <f>IF($H94="","",IF(AND($H94&gt;=8,$H94&lt;=20),"YES","NO"))</f>
        <v/>
      </c>
      <c r="J94" s="3" t="inlineStr"/>
      <c r="K94" s="3">
        <f>IF($A94="","",IF($I94="YES","READY_TO_COPY","UPGRADE_ANCHOR"))</f>
        <v/>
      </c>
    </row>
    <row r="95">
      <c r="A95" s="3" t="inlineStr"/>
      <c r="B95" s="3" t="inlineStr"/>
      <c r="C95" s="3" t="inlineStr"/>
      <c r="D95" s="3" t="inlineStr"/>
      <c r="E95" s="3" t="inlineStr"/>
      <c r="F95" s="3" t="inlineStr"/>
      <c r="G95" s="3">
        <f>IF($E95="","",VLOOKUP($E95,RECORD_ITEMS!$A:$T,6,FALSE))</f>
        <v/>
      </c>
      <c r="H95" s="3">
        <f>IF($G95="","",LEN(TRIM($G95))-LEN(SUBSTITUTE(TRIM($G95)," ",""))+1)</f>
        <v/>
      </c>
      <c r="I95" s="3">
        <f>IF($H95="","",IF(AND($H95&gt;=8,$H95&lt;=20),"YES","NO"))</f>
        <v/>
      </c>
      <c r="J95" s="3" t="inlineStr"/>
      <c r="K95" s="3">
        <f>IF($A95="","",IF($I95="YES","READY_TO_COPY","UPGRADE_ANCHOR"))</f>
        <v/>
      </c>
    </row>
    <row r="96">
      <c r="A96" s="3" t="inlineStr"/>
      <c r="B96" s="3" t="inlineStr"/>
      <c r="C96" s="3" t="inlineStr"/>
      <c r="D96" s="3" t="inlineStr"/>
      <c r="E96" s="3" t="inlineStr"/>
      <c r="F96" s="3" t="inlineStr"/>
      <c r="G96" s="3">
        <f>IF($E96="","",VLOOKUP($E96,RECORD_ITEMS!$A:$T,6,FALSE))</f>
        <v/>
      </c>
      <c r="H96" s="3">
        <f>IF($G96="","",LEN(TRIM($G96))-LEN(SUBSTITUTE(TRIM($G96)," ",""))+1)</f>
        <v/>
      </c>
      <c r="I96" s="3">
        <f>IF($H96="","",IF(AND($H96&gt;=8,$H96&lt;=20),"YES","NO"))</f>
        <v/>
      </c>
      <c r="J96" s="3" t="inlineStr"/>
      <c r="K96" s="3">
        <f>IF($A96="","",IF($I96="YES","READY_TO_COPY","UPGRADE_ANCHOR"))</f>
        <v/>
      </c>
    </row>
    <row r="97">
      <c r="A97" s="3" t="inlineStr"/>
      <c r="B97" s="3" t="inlineStr"/>
      <c r="C97" s="3" t="inlineStr"/>
      <c r="D97" s="3" t="inlineStr"/>
      <c r="E97" s="3" t="inlineStr"/>
      <c r="F97" s="3" t="inlineStr"/>
      <c r="G97" s="3">
        <f>IF($E97="","",VLOOKUP($E97,RECORD_ITEMS!$A:$T,6,FALSE))</f>
        <v/>
      </c>
      <c r="H97" s="3">
        <f>IF($G97="","",LEN(TRIM($G97))-LEN(SUBSTITUTE(TRIM($G97)," ",""))+1)</f>
        <v/>
      </c>
      <c r="I97" s="3">
        <f>IF($H97="","",IF(AND($H97&gt;=8,$H97&lt;=20),"YES","NO"))</f>
        <v/>
      </c>
      <c r="J97" s="3" t="inlineStr"/>
      <c r="K97" s="3">
        <f>IF($A97="","",IF($I97="YES","READY_TO_COPY","UPGRADE_ANCHOR"))</f>
        <v/>
      </c>
    </row>
    <row r="98">
      <c r="A98" s="3" t="inlineStr"/>
      <c r="B98" s="3" t="inlineStr"/>
      <c r="C98" s="3" t="inlineStr"/>
      <c r="D98" s="3" t="inlineStr"/>
      <c r="E98" s="3" t="inlineStr"/>
      <c r="F98" s="3" t="inlineStr"/>
      <c r="G98" s="3">
        <f>IF($E98="","",VLOOKUP($E98,RECORD_ITEMS!$A:$T,6,FALSE))</f>
        <v/>
      </c>
      <c r="H98" s="3">
        <f>IF($G98="","",LEN(TRIM($G98))-LEN(SUBSTITUTE(TRIM($G98)," ",""))+1)</f>
        <v/>
      </c>
      <c r="I98" s="3">
        <f>IF($H98="","",IF(AND($H98&gt;=8,$H98&lt;=20),"YES","NO"))</f>
        <v/>
      </c>
      <c r="J98" s="3" t="inlineStr"/>
      <c r="K98" s="3">
        <f>IF($A98="","",IF($I98="YES","READY_TO_COPY","UPGRADE_ANCHOR"))</f>
        <v/>
      </c>
    </row>
    <row r="99">
      <c r="A99" s="3" t="inlineStr"/>
      <c r="B99" s="3" t="inlineStr"/>
      <c r="C99" s="3" t="inlineStr"/>
      <c r="D99" s="3" t="inlineStr"/>
      <c r="E99" s="3" t="inlineStr"/>
      <c r="F99" s="3" t="inlineStr"/>
      <c r="G99" s="3">
        <f>IF($E99="","",VLOOKUP($E99,RECORD_ITEMS!$A:$T,6,FALSE))</f>
        <v/>
      </c>
      <c r="H99" s="3">
        <f>IF($G99="","",LEN(TRIM($G99))-LEN(SUBSTITUTE(TRIM($G99)," ",""))+1)</f>
        <v/>
      </c>
      <c r="I99" s="3">
        <f>IF($H99="","",IF(AND($H99&gt;=8,$H99&lt;=20),"YES","NO"))</f>
        <v/>
      </c>
      <c r="J99" s="3" t="inlineStr"/>
      <c r="K99" s="3">
        <f>IF($A99="","",IF($I99="YES","READY_TO_COPY","UPGRADE_ANCHOR"))</f>
        <v/>
      </c>
    </row>
    <row r="100">
      <c r="A100" s="3" t="inlineStr"/>
      <c r="B100" s="3" t="inlineStr"/>
      <c r="C100" s="3" t="inlineStr"/>
      <c r="D100" s="3" t="inlineStr"/>
      <c r="E100" s="3" t="inlineStr"/>
      <c r="F100" s="3" t="inlineStr"/>
      <c r="G100" s="3">
        <f>IF($E100="","",VLOOKUP($E100,RECORD_ITEMS!$A:$T,6,FALSE))</f>
        <v/>
      </c>
      <c r="H100" s="3">
        <f>IF($G100="","",LEN(TRIM($G100))-LEN(SUBSTITUTE(TRIM($G100)," ",""))+1)</f>
        <v/>
      </c>
      <c r="I100" s="3">
        <f>IF($H100="","",IF(AND($H100&gt;=8,$H100&lt;=20),"YES","NO"))</f>
        <v/>
      </c>
      <c r="J100" s="3" t="inlineStr"/>
      <c r="K100" s="3">
        <f>IF($A100="","",IF($I100="YES","READY_TO_COPY","UPGRADE_ANCHOR"))</f>
        <v/>
      </c>
    </row>
    <row r="101">
      <c r="A101" s="3" t="inlineStr"/>
      <c r="B101" s="3" t="inlineStr"/>
      <c r="C101" s="3" t="inlineStr"/>
      <c r="D101" s="3" t="inlineStr"/>
      <c r="E101" s="3" t="inlineStr"/>
      <c r="F101" s="3" t="inlineStr"/>
      <c r="G101" s="3">
        <f>IF($E101="","",VLOOKUP($E101,RECORD_ITEMS!$A:$T,6,FALSE))</f>
        <v/>
      </c>
      <c r="H101" s="3">
        <f>IF($G101="","",LEN(TRIM($G101))-LEN(SUBSTITUTE(TRIM($G101)," ",""))+1)</f>
        <v/>
      </c>
      <c r="I101" s="3">
        <f>IF($H101="","",IF(AND($H101&gt;=8,$H101&lt;=20),"YES","NO"))</f>
        <v/>
      </c>
      <c r="J101" s="3" t="inlineStr"/>
      <c r="K101" s="3">
        <f>IF($A101="","",IF($I101="YES","READY_TO_COPY","UPGRADE_ANCHOR"))</f>
        <v/>
      </c>
    </row>
    <row r="102">
      <c r="A102" s="3" t="inlineStr"/>
      <c r="B102" s="3" t="inlineStr"/>
      <c r="C102" s="3" t="inlineStr"/>
      <c r="D102" s="3" t="inlineStr"/>
      <c r="E102" s="3" t="inlineStr"/>
      <c r="F102" s="3" t="inlineStr"/>
      <c r="G102" s="3">
        <f>IF($E102="","",VLOOKUP($E102,RECORD_ITEMS!$A:$T,6,FALSE))</f>
        <v/>
      </c>
      <c r="H102" s="3">
        <f>IF($G102="","",LEN(TRIM($G102))-LEN(SUBSTITUTE(TRIM($G102)," ",""))+1)</f>
        <v/>
      </c>
      <c r="I102" s="3">
        <f>IF($H102="","",IF(AND($H102&gt;=8,$H102&lt;=20),"YES","NO"))</f>
        <v/>
      </c>
      <c r="J102" s="3" t="inlineStr"/>
      <c r="K102" s="3">
        <f>IF($A102="","",IF($I102="YES","READY_TO_COPY","UPGRADE_ANCHOR"))</f>
        <v/>
      </c>
    </row>
    <row r="103">
      <c r="A103" s="3" t="inlineStr"/>
      <c r="B103" s="3" t="inlineStr"/>
      <c r="C103" s="3" t="inlineStr"/>
      <c r="D103" s="3" t="inlineStr"/>
      <c r="E103" s="3" t="inlineStr"/>
      <c r="F103" s="3" t="inlineStr"/>
      <c r="G103" s="3">
        <f>IF($E103="","",VLOOKUP($E103,RECORD_ITEMS!$A:$T,6,FALSE))</f>
        <v/>
      </c>
      <c r="H103" s="3">
        <f>IF($G103="","",LEN(TRIM($G103))-LEN(SUBSTITUTE(TRIM($G103)," ",""))+1)</f>
        <v/>
      </c>
      <c r="I103" s="3">
        <f>IF($H103="","",IF(AND($H103&gt;=8,$H103&lt;=20),"YES","NO"))</f>
        <v/>
      </c>
      <c r="J103" s="3" t="inlineStr"/>
      <c r="K103" s="3">
        <f>IF($A103="","",IF($I103="YES","READY_TO_COPY","UPGRADE_ANCHOR"))</f>
        <v/>
      </c>
    </row>
    <row r="104">
      <c r="A104" s="3" t="inlineStr"/>
      <c r="B104" s="3" t="inlineStr"/>
      <c r="C104" s="3" t="inlineStr"/>
      <c r="D104" s="3" t="inlineStr"/>
      <c r="E104" s="3" t="inlineStr"/>
      <c r="F104" s="3" t="inlineStr"/>
      <c r="G104" s="3">
        <f>IF($E104="","",VLOOKUP($E104,RECORD_ITEMS!$A:$T,6,FALSE))</f>
        <v/>
      </c>
      <c r="H104" s="3">
        <f>IF($G104="","",LEN(TRIM($G104))-LEN(SUBSTITUTE(TRIM($G104)," ",""))+1)</f>
        <v/>
      </c>
      <c r="I104" s="3">
        <f>IF($H104="","",IF(AND($H104&gt;=8,$H104&lt;=20),"YES","NO"))</f>
        <v/>
      </c>
      <c r="J104" s="3" t="inlineStr"/>
      <c r="K104" s="3">
        <f>IF($A104="","",IF($I104="YES","READY_TO_COPY","UPGRADE_ANCHOR"))</f>
        <v/>
      </c>
    </row>
    <row r="105">
      <c r="A105" s="3" t="inlineStr"/>
      <c r="B105" s="3" t="inlineStr"/>
      <c r="C105" s="3" t="inlineStr"/>
      <c r="D105" s="3" t="inlineStr"/>
      <c r="E105" s="3" t="inlineStr"/>
      <c r="F105" s="3" t="inlineStr"/>
      <c r="G105" s="3">
        <f>IF($E105="","",VLOOKUP($E105,RECORD_ITEMS!$A:$T,6,FALSE))</f>
        <v/>
      </c>
      <c r="H105" s="3">
        <f>IF($G105="","",LEN(TRIM($G105))-LEN(SUBSTITUTE(TRIM($G105)," ",""))+1)</f>
        <v/>
      </c>
      <c r="I105" s="3">
        <f>IF($H105="","",IF(AND($H105&gt;=8,$H105&lt;=20),"YES","NO"))</f>
        <v/>
      </c>
      <c r="J105" s="3" t="inlineStr"/>
      <c r="K105" s="3">
        <f>IF($A105="","",IF($I105="YES","READY_TO_COPY","UPGRADE_ANCHOR"))</f>
        <v/>
      </c>
    </row>
    <row r="106">
      <c r="A106" s="3" t="inlineStr"/>
      <c r="B106" s="3" t="inlineStr"/>
      <c r="C106" s="3" t="inlineStr"/>
      <c r="D106" s="3" t="inlineStr"/>
      <c r="E106" s="3" t="inlineStr"/>
      <c r="F106" s="3" t="inlineStr"/>
      <c r="G106" s="3">
        <f>IF($E106="","",VLOOKUP($E106,RECORD_ITEMS!$A:$T,6,FALSE))</f>
        <v/>
      </c>
      <c r="H106" s="3">
        <f>IF($G106="","",LEN(TRIM($G106))-LEN(SUBSTITUTE(TRIM($G106)," ",""))+1)</f>
        <v/>
      </c>
      <c r="I106" s="3">
        <f>IF($H106="","",IF(AND($H106&gt;=8,$H106&lt;=20),"YES","NO"))</f>
        <v/>
      </c>
      <c r="J106" s="3" t="inlineStr"/>
      <c r="K106" s="3">
        <f>IF($A106="","",IF($I106="YES","READY_TO_COPY","UPGRADE_ANCHOR"))</f>
        <v/>
      </c>
    </row>
    <row r="107">
      <c r="A107" s="3" t="inlineStr"/>
      <c r="B107" s="3" t="inlineStr"/>
      <c r="C107" s="3" t="inlineStr"/>
      <c r="D107" s="3" t="inlineStr"/>
      <c r="E107" s="3" t="inlineStr"/>
      <c r="F107" s="3" t="inlineStr"/>
      <c r="G107" s="3">
        <f>IF($E107="","",VLOOKUP($E107,RECORD_ITEMS!$A:$T,6,FALSE))</f>
        <v/>
      </c>
      <c r="H107" s="3">
        <f>IF($G107="","",LEN(TRIM($G107))-LEN(SUBSTITUTE(TRIM($G107)," ",""))+1)</f>
        <v/>
      </c>
      <c r="I107" s="3">
        <f>IF($H107="","",IF(AND($H107&gt;=8,$H107&lt;=20),"YES","NO"))</f>
        <v/>
      </c>
      <c r="J107" s="3" t="inlineStr"/>
      <c r="K107" s="3">
        <f>IF($A107="","",IF($I107="YES","READY_TO_COPY","UPGRADE_ANCHOR"))</f>
        <v/>
      </c>
    </row>
    <row r="108">
      <c r="A108" s="3" t="inlineStr"/>
      <c r="B108" s="3" t="inlineStr"/>
      <c r="C108" s="3" t="inlineStr"/>
      <c r="D108" s="3" t="inlineStr"/>
      <c r="E108" s="3" t="inlineStr"/>
      <c r="F108" s="3" t="inlineStr"/>
      <c r="G108" s="3">
        <f>IF($E108="","",VLOOKUP($E108,RECORD_ITEMS!$A:$T,6,FALSE))</f>
        <v/>
      </c>
      <c r="H108" s="3">
        <f>IF($G108="","",LEN(TRIM($G108))-LEN(SUBSTITUTE(TRIM($G108)," ",""))+1)</f>
        <v/>
      </c>
      <c r="I108" s="3">
        <f>IF($H108="","",IF(AND($H108&gt;=8,$H108&lt;=20),"YES","NO"))</f>
        <v/>
      </c>
      <c r="J108" s="3" t="inlineStr"/>
      <c r="K108" s="3">
        <f>IF($A108="","",IF($I108="YES","READY_TO_COPY","UPGRADE_ANCHOR"))</f>
        <v/>
      </c>
    </row>
    <row r="109">
      <c r="A109" s="3" t="inlineStr"/>
      <c r="B109" s="3" t="inlineStr"/>
      <c r="C109" s="3" t="inlineStr"/>
      <c r="D109" s="3" t="inlineStr"/>
      <c r="E109" s="3" t="inlineStr"/>
      <c r="F109" s="3" t="inlineStr"/>
      <c r="G109" s="3">
        <f>IF($E109="","",VLOOKUP($E109,RECORD_ITEMS!$A:$T,6,FALSE))</f>
        <v/>
      </c>
      <c r="H109" s="3">
        <f>IF($G109="","",LEN(TRIM($G109))-LEN(SUBSTITUTE(TRIM($G109)," ",""))+1)</f>
        <v/>
      </c>
      <c r="I109" s="3">
        <f>IF($H109="","",IF(AND($H109&gt;=8,$H109&lt;=20),"YES","NO"))</f>
        <v/>
      </c>
      <c r="J109" s="3" t="inlineStr"/>
      <c r="K109" s="3">
        <f>IF($A109="","",IF($I109="YES","READY_TO_COPY","UPGRADE_ANCHOR"))</f>
        <v/>
      </c>
    </row>
    <row r="110">
      <c r="A110" s="3" t="inlineStr"/>
      <c r="B110" s="3" t="inlineStr"/>
      <c r="C110" s="3" t="inlineStr"/>
      <c r="D110" s="3" t="inlineStr"/>
      <c r="E110" s="3" t="inlineStr"/>
      <c r="F110" s="3" t="inlineStr"/>
      <c r="G110" s="3">
        <f>IF($E110="","",VLOOKUP($E110,RECORD_ITEMS!$A:$T,6,FALSE))</f>
        <v/>
      </c>
      <c r="H110" s="3">
        <f>IF($G110="","",LEN(TRIM($G110))-LEN(SUBSTITUTE(TRIM($G110)," ",""))+1)</f>
        <v/>
      </c>
      <c r="I110" s="3">
        <f>IF($H110="","",IF(AND($H110&gt;=8,$H110&lt;=20),"YES","NO"))</f>
        <v/>
      </c>
      <c r="J110" s="3" t="inlineStr"/>
      <c r="K110" s="3">
        <f>IF($A110="","",IF($I110="YES","READY_TO_COPY","UPGRADE_ANCHOR"))</f>
        <v/>
      </c>
    </row>
    <row r="111">
      <c r="A111" s="3" t="inlineStr"/>
      <c r="B111" s="3" t="inlineStr"/>
      <c r="C111" s="3" t="inlineStr"/>
      <c r="D111" s="3" t="inlineStr"/>
      <c r="E111" s="3" t="inlineStr"/>
      <c r="F111" s="3" t="inlineStr"/>
      <c r="G111" s="3">
        <f>IF($E111="","",VLOOKUP($E111,RECORD_ITEMS!$A:$T,6,FALSE))</f>
        <v/>
      </c>
      <c r="H111" s="3">
        <f>IF($G111="","",LEN(TRIM($G111))-LEN(SUBSTITUTE(TRIM($G111)," ",""))+1)</f>
        <v/>
      </c>
      <c r="I111" s="3">
        <f>IF($H111="","",IF(AND($H111&gt;=8,$H111&lt;=20),"YES","NO"))</f>
        <v/>
      </c>
      <c r="J111" s="3" t="inlineStr"/>
      <c r="K111" s="3">
        <f>IF($A111="","",IF($I111="YES","READY_TO_COPY","UPGRADE_ANCHOR"))</f>
        <v/>
      </c>
    </row>
    <row r="112">
      <c r="A112" s="3" t="inlineStr"/>
      <c r="B112" s="3" t="inlineStr"/>
      <c r="C112" s="3" t="inlineStr"/>
      <c r="D112" s="3" t="inlineStr"/>
      <c r="E112" s="3" t="inlineStr"/>
      <c r="F112" s="3" t="inlineStr"/>
      <c r="G112" s="3">
        <f>IF($E112="","",VLOOKUP($E112,RECORD_ITEMS!$A:$T,6,FALSE))</f>
        <v/>
      </c>
      <c r="H112" s="3">
        <f>IF($G112="","",LEN(TRIM($G112))-LEN(SUBSTITUTE(TRIM($G112)," ",""))+1)</f>
        <v/>
      </c>
      <c r="I112" s="3">
        <f>IF($H112="","",IF(AND($H112&gt;=8,$H112&lt;=20),"YES","NO"))</f>
        <v/>
      </c>
      <c r="J112" s="3" t="inlineStr"/>
      <c r="K112" s="3">
        <f>IF($A112="","",IF($I112="YES","READY_TO_COPY","UPGRADE_ANCHOR"))</f>
        <v/>
      </c>
    </row>
    <row r="113">
      <c r="A113" s="3" t="inlineStr"/>
      <c r="B113" s="3" t="inlineStr"/>
      <c r="C113" s="3" t="inlineStr"/>
      <c r="D113" s="3" t="inlineStr"/>
      <c r="E113" s="3" t="inlineStr"/>
      <c r="F113" s="3" t="inlineStr"/>
      <c r="G113" s="3">
        <f>IF($E113="","",VLOOKUP($E113,RECORD_ITEMS!$A:$T,6,FALSE))</f>
        <v/>
      </c>
      <c r="H113" s="3">
        <f>IF($G113="","",LEN(TRIM($G113))-LEN(SUBSTITUTE(TRIM($G113)," ",""))+1)</f>
        <v/>
      </c>
      <c r="I113" s="3">
        <f>IF($H113="","",IF(AND($H113&gt;=8,$H113&lt;=20),"YES","NO"))</f>
        <v/>
      </c>
      <c r="J113" s="3" t="inlineStr"/>
      <c r="K113" s="3">
        <f>IF($A113="","",IF($I113="YES","READY_TO_COPY","UPGRADE_ANCHOR"))</f>
        <v/>
      </c>
    </row>
    <row r="114">
      <c r="A114" s="3" t="inlineStr"/>
      <c r="B114" s="3" t="inlineStr"/>
      <c r="C114" s="3" t="inlineStr"/>
      <c r="D114" s="3" t="inlineStr"/>
      <c r="E114" s="3" t="inlineStr"/>
      <c r="F114" s="3" t="inlineStr"/>
      <c r="G114" s="3">
        <f>IF($E114="","",VLOOKUP($E114,RECORD_ITEMS!$A:$T,6,FALSE))</f>
        <v/>
      </c>
      <c r="H114" s="3">
        <f>IF($G114="","",LEN(TRIM($G114))-LEN(SUBSTITUTE(TRIM($G114)," ",""))+1)</f>
        <v/>
      </c>
      <c r="I114" s="3">
        <f>IF($H114="","",IF(AND($H114&gt;=8,$H114&lt;=20),"YES","NO"))</f>
        <v/>
      </c>
      <c r="J114" s="3" t="inlineStr"/>
      <c r="K114" s="3">
        <f>IF($A114="","",IF($I114="YES","READY_TO_COPY","UPGRADE_ANCHOR"))</f>
        <v/>
      </c>
    </row>
    <row r="115">
      <c r="A115" s="3" t="inlineStr"/>
      <c r="B115" s="3" t="inlineStr"/>
      <c r="C115" s="3" t="inlineStr"/>
      <c r="D115" s="3" t="inlineStr"/>
      <c r="E115" s="3" t="inlineStr"/>
      <c r="F115" s="3" t="inlineStr"/>
      <c r="G115" s="3">
        <f>IF($E115="","",VLOOKUP($E115,RECORD_ITEMS!$A:$T,6,FALSE))</f>
        <v/>
      </c>
      <c r="H115" s="3">
        <f>IF($G115="","",LEN(TRIM($G115))-LEN(SUBSTITUTE(TRIM($G115)," ",""))+1)</f>
        <v/>
      </c>
      <c r="I115" s="3">
        <f>IF($H115="","",IF(AND($H115&gt;=8,$H115&lt;=20),"YES","NO"))</f>
        <v/>
      </c>
      <c r="J115" s="3" t="inlineStr"/>
      <c r="K115" s="3">
        <f>IF($A115="","",IF($I115="YES","READY_TO_COPY","UPGRADE_ANCHOR"))</f>
        <v/>
      </c>
    </row>
    <row r="116">
      <c r="A116" s="3" t="inlineStr"/>
      <c r="B116" s="3" t="inlineStr"/>
      <c r="C116" s="3" t="inlineStr"/>
      <c r="D116" s="3" t="inlineStr"/>
      <c r="E116" s="3" t="inlineStr"/>
      <c r="F116" s="3" t="inlineStr"/>
      <c r="G116" s="3">
        <f>IF($E116="","",VLOOKUP($E116,RECORD_ITEMS!$A:$T,6,FALSE))</f>
        <v/>
      </c>
      <c r="H116" s="3">
        <f>IF($G116="","",LEN(TRIM($G116))-LEN(SUBSTITUTE(TRIM($G116)," ",""))+1)</f>
        <v/>
      </c>
      <c r="I116" s="3">
        <f>IF($H116="","",IF(AND($H116&gt;=8,$H116&lt;=20),"YES","NO"))</f>
        <v/>
      </c>
      <c r="J116" s="3" t="inlineStr"/>
      <c r="K116" s="3">
        <f>IF($A116="","",IF($I116="YES","READY_TO_COPY","UPGRADE_ANCHOR"))</f>
        <v/>
      </c>
    </row>
    <row r="117">
      <c r="A117" s="3" t="inlineStr"/>
      <c r="B117" s="3" t="inlineStr"/>
      <c r="C117" s="3" t="inlineStr"/>
      <c r="D117" s="3" t="inlineStr"/>
      <c r="E117" s="3" t="inlineStr"/>
      <c r="F117" s="3" t="inlineStr"/>
      <c r="G117" s="3">
        <f>IF($E117="","",VLOOKUP($E117,RECORD_ITEMS!$A:$T,6,FALSE))</f>
        <v/>
      </c>
      <c r="H117" s="3">
        <f>IF($G117="","",LEN(TRIM($G117))-LEN(SUBSTITUTE(TRIM($G117)," ",""))+1)</f>
        <v/>
      </c>
      <c r="I117" s="3">
        <f>IF($H117="","",IF(AND($H117&gt;=8,$H117&lt;=20),"YES","NO"))</f>
        <v/>
      </c>
      <c r="J117" s="3" t="inlineStr"/>
      <c r="K117" s="3">
        <f>IF($A117="","",IF($I117="YES","READY_TO_COPY","UPGRADE_ANCHOR"))</f>
        <v/>
      </c>
    </row>
    <row r="118">
      <c r="A118" s="3" t="inlineStr"/>
      <c r="B118" s="3" t="inlineStr"/>
      <c r="C118" s="3" t="inlineStr"/>
      <c r="D118" s="3" t="inlineStr"/>
      <c r="E118" s="3" t="inlineStr"/>
      <c r="F118" s="3" t="inlineStr"/>
      <c r="G118" s="3">
        <f>IF($E118="","",VLOOKUP($E118,RECORD_ITEMS!$A:$T,6,FALSE))</f>
        <v/>
      </c>
      <c r="H118" s="3">
        <f>IF($G118="","",LEN(TRIM($G118))-LEN(SUBSTITUTE(TRIM($G118)," ",""))+1)</f>
        <v/>
      </c>
      <c r="I118" s="3">
        <f>IF($H118="","",IF(AND($H118&gt;=8,$H118&lt;=20),"YES","NO"))</f>
        <v/>
      </c>
      <c r="J118" s="3" t="inlineStr"/>
      <c r="K118" s="3">
        <f>IF($A118="","",IF($I118="YES","READY_TO_COPY","UPGRADE_ANCHOR"))</f>
        <v/>
      </c>
    </row>
    <row r="119">
      <c r="A119" s="3" t="inlineStr"/>
      <c r="B119" s="3" t="inlineStr"/>
      <c r="C119" s="3" t="inlineStr"/>
      <c r="D119" s="3" t="inlineStr"/>
      <c r="E119" s="3" t="inlineStr"/>
      <c r="F119" s="3" t="inlineStr"/>
      <c r="G119" s="3">
        <f>IF($E119="","",VLOOKUP($E119,RECORD_ITEMS!$A:$T,6,FALSE))</f>
        <v/>
      </c>
      <c r="H119" s="3">
        <f>IF($G119="","",LEN(TRIM($G119))-LEN(SUBSTITUTE(TRIM($G119)," ",""))+1)</f>
        <v/>
      </c>
      <c r="I119" s="3">
        <f>IF($H119="","",IF(AND($H119&gt;=8,$H119&lt;=20),"YES","NO"))</f>
        <v/>
      </c>
      <c r="J119" s="3" t="inlineStr"/>
      <c r="K119" s="3">
        <f>IF($A119="","",IF($I119="YES","READY_TO_COPY","UPGRADE_ANCHOR"))</f>
        <v/>
      </c>
    </row>
    <row r="120">
      <c r="A120" s="3" t="inlineStr"/>
      <c r="B120" s="3" t="inlineStr"/>
      <c r="C120" s="3" t="inlineStr"/>
      <c r="D120" s="3" t="inlineStr"/>
      <c r="E120" s="3" t="inlineStr"/>
      <c r="F120" s="3" t="inlineStr"/>
      <c r="G120" s="3">
        <f>IF($E120="","",VLOOKUP($E120,RECORD_ITEMS!$A:$T,6,FALSE))</f>
        <v/>
      </c>
      <c r="H120" s="3">
        <f>IF($G120="","",LEN(TRIM($G120))-LEN(SUBSTITUTE(TRIM($G120)," ",""))+1)</f>
        <v/>
      </c>
      <c r="I120" s="3">
        <f>IF($H120="","",IF(AND($H120&gt;=8,$H120&lt;=20),"YES","NO"))</f>
        <v/>
      </c>
      <c r="J120" s="3" t="inlineStr"/>
      <c r="K120" s="3">
        <f>IF($A120="","",IF($I120="YES","READY_TO_COPY","UPGRADE_ANCHOR"))</f>
        <v/>
      </c>
    </row>
    <row r="121">
      <c r="A121" s="3" t="inlineStr"/>
      <c r="B121" s="3" t="inlineStr"/>
      <c r="C121" s="3" t="inlineStr"/>
      <c r="D121" s="3" t="inlineStr"/>
      <c r="E121" s="3" t="inlineStr"/>
      <c r="F121" s="3" t="inlineStr"/>
      <c r="G121" s="3">
        <f>IF($E121="","",VLOOKUP($E121,RECORD_ITEMS!$A:$T,6,FALSE))</f>
        <v/>
      </c>
      <c r="H121" s="3">
        <f>IF($G121="","",LEN(TRIM($G121))-LEN(SUBSTITUTE(TRIM($G121)," ",""))+1)</f>
        <v/>
      </c>
      <c r="I121" s="3">
        <f>IF($H121="","",IF(AND($H121&gt;=8,$H121&lt;=20),"YES","NO"))</f>
        <v/>
      </c>
      <c r="J121" s="3" t="inlineStr"/>
      <c r="K121" s="3">
        <f>IF($A121="","",IF($I121="YES","READY_TO_COPY","UPGRADE_ANCHOR"))</f>
        <v/>
      </c>
    </row>
    <row r="122">
      <c r="A122" s="3" t="inlineStr"/>
      <c r="B122" s="3" t="inlineStr"/>
      <c r="C122" s="3" t="inlineStr"/>
      <c r="D122" s="3" t="inlineStr"/>
      <c r="E122" s="3" t="inlineStr"/>
      <c r="F122" s="3" t="inlineStr"/>
      <c r="G122" s="3">
        <f>IF($E122="","",VLOOKUP($E122,RECORD_ITEMS!$A:$T,6,FALSE))</f>
        <v/>
      </c>
      <c r="H122" s="3">
        <f>IF($G122="","",LEN(TRIM($G122))-LEN(SUBSTITUTE(TRIM($G122)," ",""))+1)</f>
        <v/>
      </c>
      <c r="I122" s="3">
        <f>IF($H122="","",IF(AND($H122&gt;=8,$H122&lt;=20),"YES","NO"))</f>
        <v/>
      </c>
      <c r="J122" s="3" t="inlineStr"/>
      <c r="K122" s="3">
        <f>IF($A122="","",IF($I122="YES","READY_TO_COPY","UPGRADE_ANCHOR"))</f>
        <v/>
      </c>
    </row>
    <row r="123">
      <c r="A123" s="3" t="inlineStr"/>
      <c r="B123" s="3" t="inlineStr"/>
      <c r="C123" s="3" t="inlineStr"/>
      <c r="D123" s="3" t="inlineStr"/>
      <c r="E123" s="3" t="inlineStr"/>
      <c r="F123" s="3" t="inlineStr"/>
      <c r="G123" s="3">
        <f>IF($E123="","",VLOOKUP($E123,RECORD_ITEMS!$A:$T,6,FALSE))</f>
        <v/>
      </c>
      <c r="H123" s="3">
        <f>IF($G123="","",LEN(TRIM($G123))-LEN(SUBSTITUTE(TRIM($G123)," ",""))+1)</f>
        <v/>
      </c>
      <c r="I123" s="3">
        <f>IF($H123="","",IF(AND($H123&gt;=8,$H123&lt;=20),"YES","NO"))</f>
        <v/>
      </c>
      <c r="J123" s="3" t="inlineStr"/>
      <c r="K123" s="3">
        <f>IF($A123="","",IF($I123="YES","READY_TO_COPY","UPGRADE_ANCHOR"))</f>
        <v/>
      </c>
    </row>
    <row r="124">
      <c r="A124" s="3" t="inlineStr"/>
      <c r="B124" s="3" t="inlineStr"/>
      <c r="C124" s="3" t="inlineStr"/>
      <c r="D124" s="3" t="inlineStr"/>
      <c r="E124" s="3" t="inlineStr"/>
      <c r="F124" s="3" t="inlineStr"/>
      <c r="G124" s="3">
        <f>IF($E124="","",VLOOKUP($E124,RECORD_ITEMS!$A:$T,6,FALSE))</f>
        <v/>
      </c>
      <c r="H124" s="3">
        <f>IF($G124="","",LEN(TRIM($G124))-LEN(SUBSTITUTE(TRIM($G124)," ",""))+1)</f>
        <v/>
      </c>
      <c r="I124" s="3">
        <f>IF($H124="","",IF(AND($H124&gt;=8,$H124&lt;=20),"YES","NO"))</f>
        <v/>
      </c>
      <c r="J124" s="3" t="inlineStr"/>
      <c r="K124" s="3">
        <f>IF($A124="","",IF($I124="YES","READY_TO_COPY","UPGRADE_ANCHOR"))</f>
        <v/>
      </c>
    </row>
    <row r="125">
      <c r="A125" s="3" t="inlineStr"/>
      <c r="B125" s="3" t="inlineStr"/>
      <c r="C125" s="3" t="inlineStr"/>
      <c r="D125" s="3" t="inlineStr"/>
      <c r="E125" s="3" t="inlineStr"/>
      <c r="F125" s="3" t="inlineStr"/>
      <c r="G125" s="3">
        <f>IF($E125="","",VLOOKUP($E125,RECORD_ITEMS!$A:$T,6,FALSE))</f>
        <v/>
      </c>
      <c r="H125" s="3">
        <f>IF($G125="","",LEN(TRIM($G125))-LEN(SUBSTITUTE(TRIM($G125)," ",""))+1)</f>
        <v/>
      </c>
      <c r="I125" s="3">
        <f>IF($H125="","",IF(AND($H125&gt;=8,$H125&lt;=20),"YES","NO"))</f>
        <v/>
      </c>
      <c r="J125" s="3" t="inlineStr"/>
      <c r="K125" s="3">
        <f>IF($A125="","",IF($I125="YES","READY_TO_COPY","UPGRADE_ANCHOR"))</f>
        <v/>
      </c>
    </row>
    <row r="126">
      <c r="A126" s="3" t="inlineStr"/>
      <c r="B126" s="3" t="inlineStr"/>
      <c r="C126" s="3" t="inlineStr"/>
      <c r="D126" s="3" t="inlineStr"/>
      <c r="E126" s="3" t="inlineStr"/>
      <c r="F126" s="3" t="inlineStr"/>
      <c r="G126" s="3">
        <f>IF($E126="","",VLOOKUP($E126,RECORD_ITEMS!$A:$T,6,FALSE))</f>
        <v/>
      </c>
      <c r="H126" s="3">
        <f>IF($G126="","",LEN(TRIM($G126))-LEN(SUBSTITUTE(TRIM($G126)," ",""))+1)</f>
        <v/>
      </c>
      <c r="I126" s="3">
        <f>IF($H126="","",IF(AND($H126&gt;=8,$H126&lt;=20),"YES","NO"))</f>
        <v/>
      </c>
      <c r="J126" s="3" t="inlineStr"/>
      <c r="K126" s="3">
        <f>IF($A126="","",IF($I126="YES","READY_TO_COPY","UPGRADE_ANCHOR"))</f>
        <v/>
      </c>
    </row>
    <row r="127">
      <c r="A127" s="3" t="inlineStr"/>
      <c r="B127" s="3" t="inlineStr"/>
      <c r="C127" s="3" t="inlineStr"/>
      <c r="D127" s="3" t="inlineStr"/>
      <c r="E127" s="3" t="inlineStr"/>
      <c r="F127" s="3" t="inlineStr"/>
      <c r="G127" s="3">
        <f>IF($E127="","",VLOOKUP($E127,RECORD_ITEMS!$A:$T,6,FALSE))</f>
        <v/>
      </c>
      <c r="H127" s="3">
        <f>IF($G127="","",LEN(TRIM($G127))-LEN(SUBSTITUTE(TRIM($G127)," ",""))+1)</f>
        <v/>
      </c>
      <c r="I127" s="3">
        <f>IF($H127="","",IF(AND($H127&gt;=8,$H127&lt;=20),"YES","NO"))</f>
        <v/>
      </c>
      <c r="J127" s="3" t="inlineStr"/>
      <c r="K127" s="3">
        <f>IF($A127="","",IF($I127="YES","READY_TO_COPY","UPGRADE_ANCHOR"))</f>
        <v/>
      </c>
    </row>
    <row r="128">
      <c r="A128" s="3" t="inlineStr"/>
      <c r="B128" s="3" t="inlineStr"/>
      <c r="C128" s="3" t="inlineStr"/>
      <c r="D128" s="3" t="inlineStr"/>
      <c r="E128" s="3" t="inlineStr"/>
      <c r="F128" s="3" t="inlineStr"/>
      <c r="G128" s="3">
        <f>IF($E128="","",VLOOKUP($E128,RECORD_ITEMS!$A:$T,6,FALSE))</f>
        <v/>
      </c>
      <c r="H128" s="3">
        <f>IF($G128="","",LEN(TRIM($G128))-LEN(SUBSTITUTE(TRIM($G128)," ",""))+1)</f>
        <v/>
      </c>
      <c r="I128" s="3">
        <f>IF($H128="","",IF(AND($H128&gt;=8,$H128&lt;=20),"YES","NO"))</f>
        <v/>
      </c>
      <c r="J128" s="3" t="inlineStr"/>
      <c r="K128" s="3">
        <f>IF($A128="","",IF($I128="YES","READY_TO_COPY","UPGRADE_ANCHOR"))</f>
        <v/>
      </c>
    </row>
    <row r="129">
      <c r="A129" s="3" t="inlineStr"/>
      <c r="B129" s="3" t="inlineStr"/>
      <c r="C129" s="3" t="inlineStr"/>
      <c r="D129" s="3" t="inlineStr"/>
      <c r="E129" s="3" t="inlineStr"/>
      <c r="F129" s="3" t="inlineStr"/>
      <c r="G129" s="3">
        <f>IF($E129="","",VLOOKUP($E129,RECORD_ITEMS!$A:$T,6,FALSE))</f>
        <v/>
      </c>
      <c r="H129" s="3">
        <f>IF($G129="","",LEN(TRIM($G129))-LEN(SUBSTITUTE(TRIM($G129)," ",""))+1)</f>
        <v/>
      </c>
      <c r="I129" s="3">
        <f>IF($H129="","",IF(AND($H129&gt;=8,$H129&lt;=20),"YES","NO"))</f>
        <v/>
      </c>
      <c r="J129" s="3" t="inlineStr"/>
      <c r="K129" s="3">
        <f>IF($A129="","",IF($I129="YES","READY_TO_COPY","UPGRADE_ANCHOR"))</f>
        <v/>
      </c>
    </row>
    <row r="130">
      <c r="A130" s="3" t="inlineStr"/>
      <c r="B130" s="3" t="inlineStr"/>
      <c r="C130" s="3" t="inlineStr"/>
      <c r="D130" s="3" t="inlineStr"/>
      <c r="E130" s="3" t="inlineStr"/>
      <c r="F130" s="3" t="inlineStr"/>
      <c r="G130" s="3">
        <f>IF($E130="","",VLOOKUP($E130,RECORD_ITEMS!$A:$T,6,FALSE))</f>
        <v/>
      </c>
      <c r="H130" s="3">
        <f>IF($G130="","",LEN(TRIM($G130))-LEN(SUBSTITUTE(TRIM($G130)," ",""))+1)</f>
        <v/>
      </c>
      <c r="I130" s="3">
        <f>IF($H130="","",IF(AND($H130&gt;=8,$H130&lt;=20),"YES","NO"))</f>
        <v/>
      </c>
      <c r="J130" s="3" t="inlineStr"/>
      <c r="K130" s="3">
        <f>IF($A130="","",IF($I130="YES","READY_TO_COPY","UPGRADE_ANCHOR"))</f>
        <v/>
      </c>
    </row>
    <row r="131">
      <c r="A131" s="3" t="inlineStr"/>
      <c r="B131" s="3" t="inlineStr"/>
      <c r="C131" s="3" t="inlineStr"/>
      <c r="D131" s="3" t="inlineStr"/>
      <c r="E131" s="3" t="inlineStr"/>
      <c r="F131" s="3" t="inlineStr"/>
      <c r="G131" s="3">
        <f>IF($E131="","",VLOOKUP($E131,RECORD_ITEMS!$A:$T,6,FALSE))</f>
        <v/>
      </c>
      <c r="H131" s="3">
        <f>IF($G131="","",LEN(TRIM($G131))-LEN(SUBSTITUTE(TRIM($G131)," ",""))+1)</f>
        <v/>
      </c>
      <c r="I131" s="3">
        <f>IF($H131="","",IF(AND($H131&gt;=8,$H131&lt;=20),"YES","NO"))</f>
        <v/>
      </c>
      <c r="J131" s="3" t="inlineStr"/>
      <c r="K131" s="3">
        <f>IF($A131="","",IF($I131="YES","READY_TO_COPY","UPGRADE_ANCHOR"))</f>
        <v/>
      </c>
    </row>
    <row r="132">
      <c r="A132" s="3" t="inlineStr"/>
      <c r="B132" s="3" t="inlineStr"/>
      <c r="C132" s="3" t="inlineStr"/>
      <c r="D132" s="3" t="inlineStr"/>
      <c r="E132" s="3" t="inlineStr"/>
      <c r="F132" s="3" t="inlineStr"/>
      <c r="G132" s="3">
        <f>IF($E132="","",VLOOKUP($E132,RECORD_ITEMS!$A:$T,6,FALSE))</f>
        <v/>
      </c>
      <c r="H132" s="3">
        <f>IF($G132="","",LEN(TRIM($G132))-LEN(SUBSTITUTE(TRIM($G132)," ",""))+1)</f>
        <v/>
      </c>
      <c r="I132" s="3">
        <f>IF($H132="","",IF(AND($H132&gt;=8,$H132&lt;=20),"YES","NO"))</f>
        <v/>
      </c>
      <c r="J132" s="3" t="inlineStr"/>
      <c r="K132" s="3">
        <f>IF($A132="","",IF($I132="YES","READY_TO_COPY","UPGRADE_ANCHOR"))</f>
        <v/>
      </c>
    </row>
    <row r="133">
      <c r="A133" s="3" t="inlineStr"/>
      <c r="B133" s="3" t="inlineStr"/>
      <c r="C133" s="3" t="inlineStr"/>
      <c r="D133" s="3" t="inlineStr"/>
      <c r="E133" s="3" t="inlineStr"/>
      <c r="F133" s="3" t="inlineStr"/>
      <c r="G133" s="3">
        <f>IF($E133="","",VLOOKUP($E133,RECORD_ITEMS!$A:$T,6,FALSE))</f>
        <v/>
      </c>
      <c r="H133" s="3">
        <f>IF($G133="","",LEN(TRIM($G133))-LEN(SUBSTITUTE(TRIM($G133)," ",""))+1)</f>
        <v/>
      </c>
      <c r="I133" s="3">
        <f>IF($H133="","",IF(AND($H133&gt;=8,$H133&lt;=20),"YES","NO"))</f>
        <v/>
      </c>
      <c r="J133" s="3" t="inlineStr"/>
      <c r="K133" s="3">
        <f>IF($A133="","",IF($I133="YES","READY_TO_COPY","UPGRADE_ANCHOR"))</f>
        <v/>
      </c>
    </row>
    <row r="134">
      <c r="A134" s="3" t="inlineStr"/>
      <c r="B134" s="3" t="inlineStr"/>
      <c r="C134" s="3" t="inlineStr"/>
      <c r="D134" s="3" t="inlineStr"/>
      <c r="E134" s="3" t="inlineStr"/>
      <c r="F134" s="3" t="inlineStr"/>
      <c r="G134" s="3">
        <f>IF($E134="","",VLOOKUP($E134,RECORD_ITEMS!$A:$T,6,FALSE))</f>
        <v/>
      </c>
      <c r="H134" s="3">
        <f>IF($G134="","",LEN(TRIM($G134))-LEN(SUBSTITUTE(TRIM($G134)," ",""))+1)</f>
        <v/>
      </c>
      <c r="I134" s="3">
        <f>IF($H134="","",IF(AND($H134&gt;=8,$H134&lt;=20),"YES","NO"))</f>
        <v/>
      </c>
      <c r="J134" s="3" t="inlineStr"/>
      <c r="K134" s="3">
        <f>IF($A134="","",IF($I134="YES","READY_TO_COPY","UPGRADE_ANCHOR"))</f>
        <v/>
      </c>
    </row>
    <row r="135">
      <c r="A135" s="3" t="inlineStr"/>
      <c r="B135" s="3" t="inlineStr"/>
      <c r="C135" s="3" t="inlineStr"/>
      <c r="D135" s="3" t="inlineStr"/>
      <c r="E135" s="3" t="inlineStr"/>
      <c r="F135" s="3" t="inlineStr"/>
      <c r="G135" s="3">
        <f>IF($E135="","",VLOOKUP($E135,RECORD_ITEMS!$A:$T,6,FALSE))</f>
        <v/>
      </c>
      <c r="H135" s="3">
        <f>IF($G135="","",LEN(TRIM($G135))-LEN(SUBSTITUTE(TRIM($G135)," ",""))+1)</f>
        <v/>
      </c>
      <c r="I135" s="3">
        <f>IF($H135="","",IF(AND($H135&gt;=8,$H135&lt;=20),"YES","NO"))</f>
        <v/>
      </c>
      <c r="J135" s="3" t="inlineStr"/>
      <c r="K135" s="3">
        <f>IF($A135="","",IF($I135="YES","READY_TO_COPY","UPGRADE_ANCHOR"))</f>
        <v/>
      </c>
    </row>
    <row r="136">
      <c r="A136" s="3" t="inlineStr"/>
      <c r="B136" s="3" t="inlineStr"/>
      <c r="C136" s="3" t="inlineStr"/>
      <c r="D136" s="3" t="inlineStr"/>
      <c r="E136" s="3" t="inlineStr"/>
      <c r="F136" s="3" t="inlineStr"/>
      <c r="G136" s="3">
        <f>IF($E136="","",VLOOKUP($E136,RECORD_ITEMS!$A:$T,6,FALSE))</f>
        <v/>
      </c>
      <c r="H136" s="3">
        <f>IF($G136="","",LEN(TRIM($G136))-LEN(SUBSTITUTE(TRIM($G136)," ",""))+1)</f>
        <v/>
      </c>
      <c r="I136" s="3">
        <f>IF($H136="","",IF(AND($H136&gt;=8,$H136&lt;=20),"YES","NO"))</f>
        <v/>
      </c>
      <c r="J136" s="3" t="inlineStr"/>
      <c r="K136" s="3">
        <f>IF($A136="","",IF($I136="YES","READY_TO_COPY","UPGRADE_ANCHOR"))</f>
        <v/>
      </c>
    </row>
    <row r="137">
      <c r="A137" s="3" t="inlineStr"/>
      <c r="B137" s="3" t="inlineStr"/>
      <c r="C137" s="3" t="inlineStr"/>
      <c r="D137" s="3" t="inlineStr"/>
      <c r="E137" s="3" t="inlineStr"/>
      <c r="F137" s="3" t="inlineStr"/>
      <c r="G137" s="3">
        <f>IF($E137="","",VLOOKUP($E137,RECORD_ITEMS!$A:$T,6,FALSE))</f>
        <v/>
      </c>
      <c r="H137" s="3">
        <f>IF($G137="","",LEN(TRIM($G137))-LEN(SUBSTITUTE(TRIM($G137)," ",""))+1)</f>
        <v/>
      </c>
      <c r="I137" s="3">
        <f>IF($H137="","",IF(AND($H137&gt;=8,$H137&lt;=20),"YES","NO"))</f>
        <v/>
      </c>
      <c r="J137" s="3" t="inlineStr"/>
      <c r="K137" s="3">
        <f>IF($A137="","",IF($I137="YES","READY_TO_COPY","UPGRADE_ANCHOR"))</f>
        <v/>
      </c>
    </row>
    <row r="138">
      <c r="A138" s="3" t="inlineStr"/>
      <c r="B138" s="3" t="inlineStr"/>
      <c r="C138" s="3" t="inlineStr"/>
      <c r="D138" s="3" t="inlineStr"/>
      <c r="E138" s="3" t="inlineStr"/>
      <c r="F138" s="3" t="inlineStr"/>
      <c r="G138" s="3">
        <f>IF($E138="","",VLOOKUP($E138,RECORD_ITEMS!$A:$T,6,FALSE))</f>
        <v/>
      </c>
      <c r="H138" s="3">
        <f>IF($G138="","",LEN(TRIM($G138))-LEN(SUBSTITUTE(TRIM($G138)," ",""))+1)</f>
        <v/>
      </c>
      <c r="I138" s="3">
        <f>IF($H138="","",IF(AND($H138&gt;=8,$H138&lt;=20),"YES","NO"))</f>
        <v/>
      </c>
      <c r="J138" s="3" t="inlineStr"/>
      <c r="K138" s="3">
        <f>IF($A138="","",IF($I138="YES","READY_TO_COPY","UPGRADE_ANCHOR"))</f>
        <v/>
      </c>
    </row>
    <row r="139">
      <c r="A139" s="3" t="inlineStr"/>
      <c r="B139" s="3" t="inlineStr"/>
      <c r="C139" s="3" t="inlineStr"/>
      <c r="D139" s="3" t="inlineStr"/>
      <c r="E139" s="3" t="inlineStr"/>
      <c r="F139" s="3" t="inlineStr"/>
      <c r="G139" s="3">
        <f>IF($E139="","",VLOOKUP($E139,RECORD_ITEMS!$A:$T,6,FALSE))</f>
        <v/>
      </c>
      <c r="H139" s="3">
        <f>IF($G139="","",LEN(TRIM($G139))-LEN(SUBSTITUTE(TRIM($G139)," ",""))+1)</f>
        <v/>
      </c>
      <c r="I139" s="3">
        <f>IF($H139="","",IF(AND($H139&gt;=8,$H139&lt;=20),"YES","NO"))</f>
        <v/>
      </c>
      <c r="J139" s="3" t="inlineStr"/>
      <c r="K139" s="3">
        <f>IF($A139="","",IF($I139="YES","READY_TO_COPY","UPGRADE_ANCHOR"))</f>
        <v/>
      </c>
    </row>
    <row r="140">
      <c r="A140" s="3" t="inlineStr"/>
      <c r="B140" s="3" t="inlineStr"/>
      <c r="C140" s="3" t="inlineStr"/>
      <c r="D140" s="3" t="inlineStr"/>
      <c r="E140" s="3" t="inlineStr"/>
      <c r="F140" s="3" t="inlineStr"/>
      <c r="G140" s="3">
        <f>IF($E140="","",VLOOKUP($E140,RECORD_ITEMS!$A:$T,6,FALSE))</f>
        <v/>
      </c>
      <c r="H140" s="3">
        <f>IF($G140="","",LEN(TRIM($G140))-LEN(SUBSTITUTE(TRIM($G140)," ",""))+1)</f>
        <v/>
      </c>
      <c r="I140" s="3">
        <f>IF($H140="","",IF(AND($H140&gt;=8,$H140&lt;=20),"YES","NO"))</f>
        <v/>
      </c>
      <c r="J140" s="3" t="inlineStr"/>
      <c r="K140" s="3">
        <f>IF($A140="","",IF($I140="YES","READY_TO_COPY","UPGRADE_ANCHOR"))</f>
        <v/>
      </c>
    </row>
    <row r="141">
      <c r="A141" s="3" t="inlineStr"/>
      <c r="B141" s="3" t="inlineStr"/>
      <c r="C141" s="3" t="inlineStr"/>
      <c r="D141" s="3" t="inlineStr"/>
      <c r="E141" s="3" t="inlineStr"/>
      <c r="F141" s="3" t="inlineStr"/>
      <c r="G141" s="3">
        <f>IF($E141="","",VLOOKUP($E141,RECORD_ITEMS!$A:$T,6,FALSE))</f>
        <v/>
      </c>
      <c r="H141" s="3">
        <f>IF($G141="","",LEN(TRIM($G141))-LEN(SUBSTITUTE(TRIM($G141)," ",""))+1)</f>
        <v/>
      </c>
      <c r="I141" s="3">
        <f>IF($H141="","",IF(AND($H141&gt;=8,$H141&lt;=20),"YES","NO"))</f>
        <v/>
      </c>
      <c r="J141" s="3" t="inlineStr"/>
      <c r="K141" s="3">
        <f>IF($A141="","",IF($I141="YES","READY_TO_COPY","UPGRADE_ANCHOR"))</f>
        <v/>
      </c>
    </row>
    <row r="142">
      <c r="A142" s="3" t="inlineStr"/>
      <c r="B142" s="3" t="inlineStr"/>
      <c r="C142" s="3" t="inlineStr"/>
      <c r="D142" s="3" t="inlineStr"/>
      <c r="E142" s="3" t="inlineStr"/>
      <c r="F142" s="3" t="inlineStr"/>
      <c r="G142" s="3">
        <f>IF($E142="","",VLOOKUP($E142,RECORD_ITEMS!$A:$T,6,FALSE))</f>
        <v/>
      </c>
      <c r="H142" s="3">
        <f>IF($G142="","",LEN(TRIM($G142))-LEN(SUBSTITUTE(TRIM($G142)," ",""))+1)</f>
        <v/>
      </c>
      <c r="I142" s="3">
        <f>IF($H142="","",IF(AND($H142&gt;=8,$H142&lt;=20),"YES","NO"))</f>
        <v/>
      </c>
      <c r="J142" s="3" t="inlineStr"/>
      <c r="K142" s="3">
        <f>IF($A142="","",IF($I142="YES","READY_TO_COPY","UPGRADE_ANCHOR"))</f>
        <v/>
      </c>
    </row>
    <row r="143">
      <c r="A143" s="3" t="inlineStr"/>
      <c r="B143" s="3" t="inlineStr"/>
      <c r="C143" s="3" t="inlineStr"/>
      <c r="D143" s="3" t="inlineStr"/>
      <c r="E143" s="3" t="inlineStr"/>
      <c r="F143" s="3" t="inlineStr"/>
      <c r="G143" s="3">
        <f>IF($E143="","",VLOOKUP($E143,RECORD_ITEMS!$A:$T,6,FALSE))</f>
        <v/>
      </c>
      <c r="H143" s="3">
        <f>IF($G143="","",LEN(TRIM($G143))-LEN(SUBSTITUTE(TRIM($G143)," ",""))+1)</f>
        <v/>
      </c>
      <c r="I143" s="3">
        <f>IF($H143="","",IF(AND($H143&gt;=8,$H143&lt;=20),"YES","NO"))</f>
        <v/>
      </c>
      <c r="J143" s="3" t="inlineStr"/>
      <c r="K143" s="3">
        <f>IF($A143="","",IF($I143="YES","READY_TO_COPY","UPGRADE_ANCHOR"))</f>
        <v/>
      </c>
    </row>
    <row r="144">
      <c r="A144" s="3" t="inlineStr"/>
      <c r="B144" s="3" t="inlineStr"/>
      <c r="C144" s="3" t="inlineStr"/>
      <c r="D144" s="3" t="inlineStr"/>
      <c r="E144" s="3" t="inlineStr"/>
      <c r="F144" s="3" t="inlineStr"/>
      <c r="G144" s="3">
        <f>IF($E144="","",VLOOKUP($E144,RECORD_ITEMS!$A:$T,6,FALSE))</f>
        <v/>
      </c>
      <c r="H144" s="3">
        <f>IF($G144="","",LEN(TRIM($G144))-LEN(SUBSTITUTE(TRIM($G144)," ",""))+1)</f>
        <v/>
      </c>
      <c r="I144" s="3">
        <f>IF($H144="","",IF(AND($H144&gt;=8,$H144&lt;=20),"YES","NO"))</f>
        <v/>
      </c>
      <c r="J144" s="3" t="inlineStr"/>
      <c r="K144" s="3">
        <f>IF($A144="","",IF($I144="YES","READY_TO_COPY","UPGRADE_ANCHOR"))</f>
        <v/>
      </c>
    </row>
    <row r="145">
      <c r="A145" s="3" t="inlineStr"/>
      <c r="B145" s="3" t="inlineStr"/>
      <c r="C145" s="3" t="inlineStr"/>
      <c r="D145" s="3" t="inlineStr"/>
      <c r="E145" s="3" t="inlineStr"/>
      <c r="F145" s="3" t="inlineStr"/>
      <c r="G145" s="3">
        <f>IF($E145="","",VLOOKUP($E145,RECORD_ITEMS!$A:$T,6,FALSE))</f>
        <v/>
      </c>
      <c r="H145" s="3">
        <f>IF($G145="","",LEN(TRIM($G145))-LEN(SUBSTITUTE(TRIM($G145)," ",""))+1)</f>
        <v/>
      </c>
      <c r="I145" s="3">
        <f>IF($H145="","",IF(AND($H145&gt;=8,$H145&lt;=20),"YES","NO"))</f>
        <v/>
      </c>
      <c r="J145" s="3" t="inlineStr"/>
      <c r="K145" s="3">
        <f>IF($A145="","",IF($I145="YES","READY_TO_COPY","UPGRADE_ANCHOR"))</f>
        <v/>
      </c>
    </row>
    <row r="146">
      <c r="A146" s="3" t="inlineStr"/>
      <c r="B146" s="3" t="inlineStr"/>
      <c r="C146" s="3" t="inlineStr"/>
      <c r="D146" s="3" t="inlineStr"/>
      <c r="E146" s="3" t="inlineStr"/>
      <c r="F146" s="3" t="inlineStr"/>
      <c r="G146" s="3">
        <f>IF($E146="","",VLOOKUP($E146,RECORD_ITEMS!$A:$T,6,FALSE))</f>
        <v/>
      </c>
      <c r="H146" s="3">
        <f>IF($G146="","",LEN(TRIM($G146))-LEN(SUBSTITUTE(TRIM($G146)," ",""))+1)</f>
        <v/>
      </c>
      <c r="I146" s="3">
        <f>IF($H146="","",IF(AND($H146&gt;=8,$H146&lt;=20),"YES","NO"))</f>
        <v/>
      </c>
      <c r="J146" s="3" t="inlineStr"/>
      <c r="K146" s="3">
        <f>IF($A146="","",IF($I146="YES","READY_TO_COPY","UPGRADE_ANCHOR"))</f>
        <v/>
      </c>
    </row>
    <row r="147">
      <c r="A147" s="3" t="inlineStr"/>
      <c r="B147" s="3" t="inlineStr"/>
      <c r="C147" s="3" t="inlineStr"/>
      <c r="D147" s="3" t="inlineStr"/>
      <c r="E147" s="3" t="inlineStr"/>
      <c r="F147" s="3" t="inlineStr"/>
      <c r="G147" s="3">
        <f>IF($E147="","",VLOOKUP($E147,RECORD_ITEMS!$A:$T,6,FALSE))</f>
        <v/>
      </c>
      <c r="H147" s="3">
        <f>IF($G147="","",LEN(TRIM($G147))-LEN(SUBSTITUTE(TRIM($G147)," ",""))+1)</f>
        <v/>
      </c>
      <c r="I147" s="3">
        <f>IF($H147="","",IF(AND($H147&gt;=8,$H147&lt;=20),"YES","NO"))</f>
        <v/>
      </c>
      <c r="J147" s="3" t="inlineStr"/>
      <c r="K147" s="3">
        <f>IF($A147="","",IF($I147="YES","READY_TO_COPY","UPGRADE_ANCHOR"))</f>
        <v/>
      </c>
    </row>
    <row r="148">
      <c r="A148" s="3" t="inlineStr"/>
      <c r="B148" s="3" t="inlineStr"/>
      <c r="C148" s="3" t="inlineStr"/>
      <c r="D148" s="3" t="inlineStr"/>
      <c r="E148" s="3" t="inlineStr"/>
      <c r="F148" s="3" t="inlineStr"/>
      <c r="G148" s="3">
        <f>IF($E148="","",VLOOKUP($E148,RECORD_ITEMS!$A:$T,6,FALSE))</f>
        <v/>
      </c>
      <c r="H148" s="3">
        <f>IF($G148="","",LEN(TRIM($G148))-LEN(SUBSTITUTE(TRIM($G148)," ",""))+1)</f>
        <v/>
      </c>
      <c r="I148" s="3">
        <f>IF($H148="","",IF(AND($H148&gt;=8,$H148&lt;=20),"YES","NO"))</f>
        <v/>
      </c>
      <c r="J148" s="3" t="inlineStr"/>
      <c r="K148" s="3">
        <f>IF($A148="","",IF($I148="YES","READY_TO_COPY","UPGRADE_ANCHOR"))</f>
        <v/>
      </c>
    </row>
    <row r="149">
      <c r="A149" s="3" t="inlineStr"/>
      <c r="B149" s="3" t="inlineStr"/>
      <c r="C149" s="3" t="inlineStr"/>
      <c r="D149" s="3" t="inlineStr"/>
      <c r="E149" s="3" t="inlineStr"/>
      <c r="F149" s="3" t="inlineStr"/>
      <c r="G149" s="3">
        <f>IF($E149="","",VLOOKUP($E149,RECORD_ITEMS!$A:$T,6,FALSE))</f>
        <v/>
      </c>
      <c r="H149" s="3">
        <f>IF($G149="","",LEN(TRIM($G149))-LEN(SUBSTITUTE(TRIM($G149)," ",""))+1)</f>
        <v/>
      </c>
      <c r="I149" s="3">
        <f>IF($H149="","",IF(AND($H149&gt;=8,$H149&lt;=20),"YES","NO"))</f>
        <v/>
      </c>
      <c r="J149" s="3" t="inlineStr"/>
      <c r="K149" s="3">
        <f>IF($A149="","",IF($I149="YES","READY_TO_COPY","UPGRADE_ANCHOR"))</f>
        <v/>
      </c>
    </row>
    <row r="150">
      <c r="A150" s="3" t="inlineStr"/>
      <c r="B150" s="3" t="inlineStr"/>
      <c r="C150" s="3" t="inlineStr"/>
      <c r="D150" s="3" t="inlineStr"/>
      <c r="E150" s="3" t="inlineStr"/>
      <c r="F150" s="3" t="inlineStr"/>
      <c r="G150" s="3">
        <f>IF($E150="","",VLOOKUP($E150,RECORD_ITEMS!$A:$T,6,FALSE))</f>
        <v/>
      </c>
      <c r="H150" s="3">
        <f>IF($G150="","",LEN(TRIM($G150))-LEN(SUBSTITUTE(TRIM($G150)," ",""))+1)</f>
        <v/>
      </c>
      <c r="I150" s="3">
        <f>IF($H150="","",IF(AND($H150&gt;=8,$H150&lt;=20),"YES","NO"))</f>
        <v/>
      </c>
      <c r="J150" s="3" t="inlineStr"/>
      <c r="K150" s="3">
        <f>IF($A150="","",IF($I150="YES","READY_TO_COPY","UPGRADE_ANCHOR"))</f>
        <v/>
      </c>
    </row>
    <row r="151">
      <c r="A151" s="3" t="inlineStr"/>
      <c r="B151" s="3" t="inlineStr"/>
      <c r="C151" s="3" t="inlineStr"/>
      <c r="D151" s="3" t="inlineStr"/>
      <c r="E151" s="3" t="inlineStr"/>
      <c r="F151" s="3" t="inlineStr"/>
      <c r="G151" s="3">
        <f>IF($E151="","",VLOOKUP($E151,RECORD_ITEMS!$A:$T,6,FALSE))</f>
        <v/>
      </c>
      <c r="H151" s="3">
        <f>IF($G151="","",LEN(TRIM($G151))-LEN(SUBSTITUTE(TRIM($G151)," ",""))+1)</f>
        <v/>
      </c>
      <c r="I151" s="3">
        <f>IF($H151="","",IF(AND($H151&gt;=8,$H151&lt;=20),"YES","NO"))</f>
        <v/>
      </c>
      <c r="J151" s="3" t="inlineStr"/>
      <c r="K151" s="3">
        <f>IF($A151="","",IF($I151="YES","READY_TO_COPY","UPGRADE_ANCHOR"))</f>
        <v/>
      </c>
    </row>
    <row r="152">
      <c r="A152" s="3" t="inlineStr"/>
      <c r="B152" s="3" t="inlineStr"/>
      <c r="C152" s="3" t="inlineStr"/>
      <c r="D152" s="3" t="inlineStr"/>
      <c r="E152" s="3" t="inlineStr"/>
      <c r="F152" s="3" t="inlineStr"/>
      <c r="G152" s="3">
        <f>IF($E152="","",VLOOKUP($E152,RECORD_ITEMS!$A:$T,6,FALSE))</f>
        <v/>
      </c>
      <c r="H152" s="3">
        <f>IF($G152="","",LEN(TRIM($G152))-LEN(SUBSTITUTE(TRIM($G152)," ",""))+1)</f>
        <v/>
      </c>
      <c r="I152" s="3">
        <f>IF($H152="","",IF(AND($H152&gt;=8,$H152&lt;=20),"YES","NO"))</f>
        <v/>
      </c>
      <c r="J152" s="3" t="inlineStr"/>
      <c r="K152" s="3">
        <f>IF($A152="","",IF($I152="YES","READY_TO_COPY","UPGRADE_ANCHOR"))</f>
        <v/>
      </c>
    </row>
    <row r="153">
      <c r="A153" s="3" t="inlineStr"/>
      <c r="B153" s="3" t="inlineStr"/>
      <c r="C153" s="3" t="inlineStr"/>
      <c r="D153" s="3" t="inlineStr"/>
      <c r="E153" s="3" t="inlineStr"/>
      <c r="F153" s="3" t="inlineStr"/>
      <c r="G153" s="3">
        <f>IF($E153="","",VLOOKUP($E153,RECORD_ITEMS!$A:$T,6,FALSE))</f>
        <v/>
      </c>
      <c r="H153" s="3">
        <f>IF($G153="","",LEN(TRIM($G153))-LEN(SUBSTITUTE(TRIM($G153)," ",""))+1)</f>
        <v/>
      </c>
      <c r="I153" s="3">
        <f>IF($H153="","",IF(AND($H153&gt;=8,$H153&lt;=20),"YES","NO"))</f>
        <v/>
      </c>
      <c r="J153" s="3" t="inlineStr"/>
      <c r="K153" s="3">
        <f>IF($A153="","",IF($I153="YES","READY_TO_COPY","UPGRADE_ANCHOR"))</f>
        <v/>
      </c>
    </row>
    <row r="154">
      <c r="A154" s="3" t="inlineStr"/>
      <c r="B154" s="3" t="inlineStr"/>
      <c r="C154" s="3" t="inlineStr"/>
      <c r="D154" s="3" t="inlineStr"/>
      <c r="E154" s="3" t="inlineStr"/>
      <c r="F154" s="3" t="inlineStr"/>
      <c r="G154" s="3">
        <f>IF($E154="","",VLOOKUP($E154,RECORD_ITEMS!$A:$T,6,FALSE))</f>
        <v/>
      </c>
      <c r="H154" s="3">
        <f>IF($G154="","",LEN(TRIM($G154))-LEN(SUBSTITUTE(TRIM($G154)," ",""))+1)</f>
        <v/>
      </c>
      <c r="I154" s="3">
        <f>IF($H154="","",IF(AND($H154&gt;=8,$H154&lt;=20),"YES","NO"))</f>
        <v/>
      </c>
      <c r="J154" s="3" t="inlineStr"/>
      <c r="K154" s="3">
        <f>IF($A154="","",IF($I154="YES","READY_TO_COPY","UPGRADE_ANCHOR"))</f>
        <v/>
      </c>
    </row>
    <row r="155">
      <c r="A155" s="3" t="inlineStr"/>
      <c r="B155" s="3" t="inlineStr"/>
      <c r="C155" s="3" t="inlineStr"/>
      <c r="D155" s="3" t="inlineStr"/>
      <c r="E155" s="3" t="inlineStr"/>
      <c r="F155" s="3" t="inlineStr"/>
      <c r="G155" s="3">
        <f>IF($E155="","",VLOOKUP($E155,RECORD_ITEMS!$A:$T,6,FALSE))</f>
        <v/>
      </c>
      <c r="H155" s="3">
        <f>IF($G155="","",LEN(TRIM($G155))-LEN(SUBSTITUTE(TRIM($G155)," ",""))+1)</f>
        <v/>
      </c>
      <c r="I155" s="3">
        <f>IF($H155="","",IF(AND($H155&gt;=8,$H155&lt;=20),"YES","NO"))</f>
        <v/>
      </c>
      <c r="J155" s="3" t="inlineStr"/>
      <c r="K155" s="3">
        <f>IF($A155="","",IF($I155="YES","READY_TO_COPY","UPGRADE_ANCHOR"))</f>
        <v/>
      </c>
    </row>
    <row r="156">
      <c r="A156" s="3" t="inlineStr"/>
      <c r="B156" s="3" t="inlineStr"/>
      <c r="C156" s="3" t="inlineStr"/>
      <c r="D156" s="3" t="inlineStr"/>
      <c r="E156" s="3" t="inlineStr"/>
      <c r="F156" s="3" t="inlineStr"/>
      <c r="G156" s="3">
        <f>IF($E156="","",VLOOKUP($E156,RECORD_ITEMS!$A:$T,6,FALSE))</f>
        <v/>
      </c>
      <c r="H156" s="3">
        <f>IF($G156="","",LEN(TRIM($G156))-LEN(SUBSTITUTE(TRIM($G156)," ",""))+1)</f>
        <v/>
      </c>
      <c r="I156" s="3">
        <f>IF($H156="","",IF(AND($H156&gt;=8,$H156&lt;=20),"YES","NO"))</f>
        <v/>
      </c>
      <c r="J156" s="3" t="inlineStr"/>
      <c r="K156" s="3">
        <f>IF($A156="","",IF($I156="YES","READY_TO_COPY","UPGRADE_ANCHOR"))</f>
        <v/>
      </c>
    </row>
    <row r="157">
      <c r="A157" s="3" t="inlineStr"/>
      <c r="B157" s="3" t="inlineStr"/>
      <c r="C157" s="3" t="inlineStr"/>
      <c r="D157" s="3" t="inlineStr"/>
      <c r="E157" s="3" t="inlineStr"/>
      <c r="F157" s="3" t="inlineStr"/>
      <c r="G157" s="3">
        <f>IF($E157="","",VLOOKUP($E157,RECORD_ITEMS!$A:$T,6,FALSE))</f>
        <v/>
      </c>
      <c r="H157" s="3">
        <f>IF($G157="","",LEN(TRIM($G157))-LEN(SUBSTITUTE(TRIM($G157)," ",""))+1)</f>
        <v/>
      </c>
      <c r="I157" s="3">
        <f>IF($H157="","",IF(AND($H157&gt;=8,$H157&lt;=20),"YES","NO"))</f>
        <v/>
      </c>
      <c r="J157" s="3" t="inlineStr"/>
      <c r="K157" s="3">
        <f>IF($A157="","",IF($I157="YES","READY_TO_COPY","UPGRADE_ANCHOR"))</f>
        <v/>
      </c>
    </row>
    <row r="158">
      <c r="A158" s="3" t="inlineStr"/>
      <c r="B158" s="3" t="inlineStr"/>
      <c r="C158" s="3" t="inlineStr"/>
      <c r="D158" s="3" t="inlineStr"/>
      <c r="E158" s="3" t="inlineStr"/>
      <c r="F158" s="3" t="inlineStr"/>
      <c r="G158" s="3">
        <f>IF($E158="","",VLOOKUP($E158,RECORD_ITEMS!$A:$T,6,FALSE))</f>
        <v/>
      </c>
      <c r="H158" s="3">
        <f>IF($G158="","",LEN(TRIM($G158))-LEN(SUBSTITUTE(TRIM($G158)," ",""))+1)</f>
        <v/>
      </c>
      <c r="I158" s="3">
        <f>IF($H158="","",IF(AND($H158&gt;=8,$H158&lt;=20),"YES","NO"))</f>
        <v/>
      </c>
      <c r="J158" s="3" t="inlineStr"/>
      <c r="K158" s="3">
        <f>IF($A158="","",IF($I158="YES","READY_TO_COPY","UPGRADE_ANCHOR"))</f>
        <v/>
      </c>
    </row>
    <row r="159">
      <c r="A159" s="3" t="inlineStr"/>
      <c r="B159" s="3" t="inlineStr"/>
      <c r="C159" s="3" t="inlineStr"/>
      <c r="D159" s="3" t="inlineStr"/>
      <c r="E159" s="3" t="inlineStr"/>
      <c r="F159" s="3" t="inlineStr"/>
      <c r="G159" s="3">
        <f>IF($E159="","",VLOOKUP($E159,RECORD_ITEMS!$A:$T,6,FALSE))</f>
        <v/>
      </c>
      <c r="H159" s="3">
        <f>IF($G159="","",LEN(TRIM($G159))-LEN(SUBSTITUTE(TRIM($G159)," ",""))+1)</f>
        <v/>
      </c>
      <c r="I159" s="3">
        <f>IF($H159="","",IF(AND($H159&gt;=8,$H159&lt;=20),"YES","NO"))</f>
        <v/>
      </c>
      <c r="J159" s="3" t="inlineStr"/>
      <c r="K159" s="3">
        <f>IF($A159="","",IF($I159="YES","READY_TO_COPY","UPGRADE_ANCHOR"))</f>
        <v/>
      </c>
    </row>
    <row r="160">
      <c r="A160" s="3" t="inlineStr"/>
      <c r="B160" s="3" t="inlineStr"/>
      <c r="C160" s="3" t="inlineStr"/>
      <c r="D160" s="3" t="inlineStr"/>
      <c r="E160" s="3" t="inlineStr"/>
      <c r="F160" s="3" t="inlineStr"/>
      <c r="G160" s="3">
        <f>IF($E160="","",VLOOKUP($E160,RECORD_ITEMS!$A:$T,6,FALSE))</f>
        <v/>
      </c>
      <c r="H160" s="3">
        <f>IF($G160="","",LEN(TRIM($G160))-LEN(SUBSTITUTE(TRIM($G160)," ",""))+1)</f>
        <v/>
      </c>
      <c r="I160" s="3">
        <f>IF($H160="","",IF(AND($H160&gt;=8,$H160&lt;=20),"YES","NO"))</f>
        <v/>
      </c>
      <c r="J160" s="3" t="inlineStr"/>
      <c r="K160" s="3">
        <f>IF($A160="","",IF($I160="YES","READY_TO_COPY","UPGRADE_ANCHOR"))</f>
        <v/>
      </c>
    </row>
    <row r="161">
      <c r="A161" s="3" t="inlineStr"/>
      <c r="B161" s="3" t="inlineStr"/>
      <c r="C161" s="3" t="inlineStr"/>
      <c r="D161" s="3" t="inlineStr"/>
      <c r="E161" s="3" t="inlineStr"/>
      <c r="F161" s="3" t="inlineStr"/>
      <c r="G161" s="3">
        <f>IF($E161="","",VLOOKUP($E161,RECORD_ITEMS!$A:$T,6,FALSE))</f>
        <v/>
      </c>
      <c r="H161" s="3">
        <f>IF($G161="","",LEN(TRIM($G161))-LEN(SUBSTITUTE(TRIM($G161)," ",""))+1)</f>
        <v/>
      </c>
      <c r="I161" s="3">
        <f>IF($H161="","",IF(AND($H161&gt;=8,$H161&lt;=20),"YES","NO"))</f>
        <v/>
      </c>
      <c r="J161" s="3" t="inlineStr"/>
      <c r="K161" s="3">
        <f>IF($A161="","",IF($I161="YES","READY_TO_COPY","UPGRADE_ANCHOR"))</f>
        <v/>
      </c>
    </row>
    <row r="162">
      <c r="A162" s="3" t="inlineStr"/>
      <c r="B162" s="3" t="inlineStr"/>
      <c r="C162" s="3" t="inlineStr"/>
      <c r="D162" s="3" t="inlineStr"/>
      <c r="E162" s="3" t="inlineStr"/>
      <c r="F162" s="3" t="inlineStr"/>
      <c r="G162" s="3">
        <f>IF($E162="","",VLOOKUP($E162,RECORD_ITEMS!$A:$T,6,FALSE))</f>
        <v/>
      </c>
      <c r="H162" s="3">
        <f>IF($G162="","",LEN(TRIM($G162))-LEN(SUBSTITUTE(TRIM($G162)," ",""))+1)</f>
        <v/>
      </c>
      <c r="I162" s="3">
        <f>IF($H162="","",IF(AND($H162&gt;=8,$H162&lt;=20),"YES","NO"))</f>
        <v/>
      </c>
      <c r="J162" s="3" t="inlineStr"/>
      <c r="K162" s="3">
        <f>IF($A162="","",IF($I162="YES","READY_TO_COPY","UPGRADE_ANCHOR"))</f>
        <v/>
      </c>
    </row>
    <row r="163">
      <c r="A163" s="3" t="inlineStr"/>
      <c r="B163" s="3" t="inlineStr"/>
      <c r="C163" s="3" t="inlineStr"/>
      <c r="D163" s="3" t="inlineStr"/>
      <c r="E163" s="3" t="inlineStr"/>
      <c r="F163" s="3" t="inlineStr"/>
      <c r="G163" s="3">
        <f>IF($E163="","",VLOOKUP($E163,RECORD_ITEMS!$A:$T,6,FALSE))</f>
        <v/>
      </c>
      <c r="H163" s="3">
        <f>IF($G163="","",LEN(TRIM($G163))-LEN(SUBSTITUTE(TRIM($G163)," ",""))+1)</f>
        <v/>
      </c>
      <c r="I163" s="3">
        <f>IF($H163="","",IF(AND($H163&gt;=8,$H163&lt;=20),"YES","NO"))</f>
        <v/>
      </c>
      <c r="J163" s="3" t="inlineStr"/>
      <c r="K163" s="3">
        <f>IF($A163="","",IF($I163="YES","READY_TO_COPY","UPGRADE_ANCHOR"))</f>
        <v/>
      </c>
    </row>
    <row r="164">
      <c r="A164" s="3" t="inlineStr"/>
      <c r="B164" s="3" t="inlineStr"/>
      <c r="C164" s="3" t="inlineStr"/>
      <c r="D164" s="3" t="inlineStr"/>
      <c r="E164" s="3" t="inlineStr"/>
      <c r="F164" s="3" t="inlineStr"/>
      <c r="G164" s="3">
        <f>IF($E164="","",VLOOKUP($E164,RECORD_ITEMS!$A:$T,6,FALSE))</f>
        <v/>
      </c>
      <c r="H164" s="3">
        <f>IF($G164="","",LEN(TRIM($G164))-LEN(SUBSTITUTE(TRIM($G164)," ",""))+1)</f>
        <v/>
      </c>
      <c r="I164" s="3">
        <f>IF($H164="","",IF(AND($H164&gt;=8,$H164&lt;=20),"YES","NO"))</f>
        <v/>
      </c>
      <c r="J164" s="3" t="inlineStr"/>
      <c r="K164" s="3">
        <f>IF($A164="","",IF($I164="YES","READY_TO_COPY","UPGRADE_ANCHOR"))</f>
        <v/>
      </c>
    </row>
    <row r="165">
      <c r="A165" s="3" t="inlineStr"/>
      <c r="B165" s="3" t="inlineStr"/>
      <c r="C165" s="3" t="inlineStr"/>
      <c r="D165" s="3" t="inlineStr"/>
      <c r="E165" s="3" t="inlineStr"/>
      <c r="F165" s="3" t="inlineStr"/>
      <c r="G165" s="3">
        <f>IF($E165="","",VLOOKUP($E165,RECORD_ITEMS!$A:$T,6,FALSE))</f>
        <v/>
      </c>
      <c r="H165" s="3">
        <f>IF($G165="","",LEN(TRIM($G165))-LEN(SUBSTITUTE(TRIM($G165)," ",""))+1)</f>
        <v/>
      </c>
      <c r="I165" s="3">
        <f>IF($H165="","",IF(AND($H165&gt;=8,$H165&lt;=20),"YES","NO"))</f>
        <v/>
      </c>
      <c r="J165" s="3" t="inlineStr"/>
      <c r="K165" s="3">
        <f>IF($A165="","",IF($I165="YES","READY_TO_COPY","UPGRADE_ANCHOR"))</f>
        <v/>
      </c>
    </row>
    <row r="166">
      <c r="A166" s="3" t="inlineStr"/>
      <c r="B166" s="3" t="inlineStr"/>
      <c r="C166" s="3" t="inlineStr"/>
      <c r="D166" s="3" t="inlineStr"/>
      <c r="E166" s="3" t="inlineStr"/>
      <c r="F166" s="3" t="inlineStr"/>
      <c r="G166" s="3">
        <f>IF($E166="","",VLOOKUP($E166,RECORD_ITEMS!$A:$T,6,FALSE))</f>
        <v/>
      </c>
      <c r="H166" s="3">
        <f>IF($G166="","",LEN(TRIM($G166))-LEN(SUBSTITUTE(TRIM($G166)," ",""))+1)</f>
        <v/>
      </c>
      <c r="I166" s="3">
        <f>IF($H166="","",IF(AND($H166&gt;=8,$H166&lt;=20),"YES","NO"))</f>
        <v/>
      </c>
      <c r="J166" s="3" t="inlineStr"/>
      <c r="K166" s="3">
        <f>IF($A166="","",IF($I166="YES","READY_TO_COPY","UPGRADE_ANCHOR"))</f>
        <v/>
      </c>
    </row>
    <row r="167">
      <c r="A167" s="3" t="inlineStr"/>
      <c r="B167" s="3" t="inlineStr"/>
      <c r="C167" s="3" t="inlineStr"/>
      <c r="D167" s="3" t="inlineStr"/>
      <c r="E167" s="3" t="inlineStr"/>
      <c r="F167" s="3" t="inlineStr"/>
      <c r="G167" s="3">
        <f>IF($E167="","",VLOOKUP($E167,RECORD_ITEMS!$A:$T,6,FALSE))</f>
        <v/>
      </c>
      <c r="H167" s="3">
        <f>IF($G167="","",LEN(TRIM($G167))-LEN(SUBSTITUTE(TRIM($G167)," ",""))+1)</f>
        <v/>
      </c>
      <c r="I167" s="3">
        <f>IF($H167="","",IF(AND($H167&gt;=8,$H167&lt;=20),"YES","NO"))</f>
        <v/>
      </c>
      <c r="J167" s="3" t="inlineStr"/>
      <c r="K167" s="3">
        <f>IF($A167="","",IF($I167="YES","READY_TO_COPY","UPGRADE_ANCHOR"))</f>
        <v/>
      </c>
    </row>
    <row r="168">
      <c r="A168" s="3" t="inlineStr"/>
      <c r="B168" s="3" t="inlineStr"/>
      <c r="C168" s="3" t="inlineStr"/>
      <c r="D168" s="3" t="inlineStr"/>
      <c r="E168" s="3" t="inlineStr"/>
      <c r="F168" s="3" t="inlineStr"/>
      <c r="G168" s="3">
        <f>IF($E168="","",VLOOKUP($E168,RECORD_ITEMS!$A:$T,6,FALSE))</f>
        <v/>
      </c>
      <c r="H168" s="3">
        <f>IF($G168="","",LEN(TRIM($G168))-LEN(SUBSTITUTE(TRIM($G168)," ",""))+1)</f>
        <v/>
      </c>
      <c r="I168" s="3">
        <f>IF($H168="","",IF(AND($H168&gt;=8,$H168&lt;=20),"YES","NO"))</f>
        <v/>
      </c>
      <c r="J168" s="3" t="inlineStr"/>
      <c r="K168" s="3">
        <f>IF($A168="","",IF($I168="YES","READY_TO_COPY","UPGRADE_ANCHOR"))</f>
        <v/>
      </c>
    </row>
    <row r="169">
      <c r="A169" s="3" t="inlineStr"/>
      <c r="B169" s="3" t="inlineStr"/>
      <c r="C169" s="3" t="inlineStr"/>
      <c r="D169" s="3" t="inlineStr"/>
      <c r="E169" s="3" t="inlineStr"/>
      <c r="F169" s="3" t="inlineStr"/>
      <c r="G169" s="3">
        <f>IF($E169="","",VLOOKUP($E169,RECORD_ITEMS!$A:$T,6,FALSE))</f>
        <v/>
      </c>
      <c r="H169" s="3">
        <f>IF($G169="","",LEN(TRIM($G169))-LEN(SUBSTITUTE(TRIM($G169)," ",""))+1)</f>
        <v/>
      </c>
      <c r="I169" s="3">
        <f>IF($H169="","",IF(AND($H169&gt;=8,$H169&lt;=20),"YES","NO"))</f>
        <v/>
      </c>
      <c r="J169" s="3" t="inlineStr"/>
      <c r="K169" s="3">
        <f>IF($A169="","",IF($I169="YES","READY_TO_COPY","UPGRADE_ANCHOR"))</f>
        <v/>
      </c>
    </row>
    <row r="170">
      <c r="A170" s="3" t="inlineStr"/>
      <c r="B170" s="3" t="inlineStr"/>
      <c r="C170" s="3" t="inlineStr"/>
      <c r="D170" s="3" t="inlineStr"/>
      <c r="E170" s="3" t="inlineStr"/>
      <c r="F170" s="3" t="inlineStr"/>
      <c r="G170" s="3">
        <f>IF($E170="","",VLOOKUP($E170,RECORD_ITEMS!$A:$T,6,FALSE))</f>
        <v/>
      </c>
      <c r="H170" s="3">
        <f>IF($G170="","",LEN(TRIM($G170))-LEN(SUBSTITUTE(TRIM($G170)," ",""))+1)</f>
        <v/>
      </c>
      <c r="I170" s="3">
        <f>IF($H170="","",IF(AND($H170&gt;=8,$H170&lt;=20),"YES","NO"))</f>
        <v/>
      </c>
      <c r="J170" s="3" t="inlineStr"/>
      <c r="K170" s="3">
        <f>IF($A170="","",IF($I170="YES","READY_TO_COPY","UPGRADE_ANCHOR"))</f>
        <v/>
      </c>
    </row>
    <row r="171">
      <c r="A171" s="3" t="inlineStr"/>
      <c r="B171" s="3" t="inlineStr"/>
      <c r="C171" s="3" t="inlineStr"/>
      <c r="D171" s="3" t="inlineStr"/>
      <c r="E171" s="3" t="inlineStr"/>
      <c r="F171" s="3" t="inlineStr"/>
      <c r="G171" s="3">
        <f>IF($E171="","",VLOOKUP($E171,RECORD_ITEMS!$A:$T,6,FALSE))</f>
        <v/>
      </c>
      <c r="H171" s="3">
        <f>IF($G171="","",LEN(TRIM($G171))-LEN(SUBSTITUTE(TRIM($G171)," ",""))+1)</f>
        <v/>
      </c>
      <c r="I171" s="3">
        <f>IF($H171="","",IF(AND($H171&gt;=8,$H171&lt;=20),"YES","NO"))</f>
        <v/>
      </c>
      <c r="J171" s="3" t="inlineStr"/>
      <c r="K171" s="3">
        <f>IF($A171="","",IF($I171="YES","READY_TO_COPY","UPGRADE_ANCHOR"))</f>
        <v/>
      </c>
    </row>
    <row r="172">
      <c r="A172" s="3" t="inlineStr"/>
      <c r="B172" s="3" t="inlineStr"/>
      <c r="C172" s="3" t="inlineStr"/>
      <c r="D172" s="3" t="inlineStr"/>
      <c r="E172" s="3" t="inlineStr"/>
      <c r="F172" s="3" t="inlineStr"/>
      <c r="G172" s="3">
        <f>IF($E172="","",VLOOKUP($E172,RECORD_ITEMS!$A:$T,6,FALSE))</f>
        <v/>
      </c>
      <c r="H172" s="3">
        <f>IF($G172="","",LEN(TRIM($G172))-LEN(SUBSTITUTE(TRIM($G172)," ",""))+1)</f>
        <v/>
      </c>
      <c r="I172" s="3">
        <f>IF($H172="","",IF(AND($H172&gt;=8,$H172&lt;=20),"YES","NO"))</f>
        <v/>
      </c>
      <c r="J172" s="3" t="inlineStr"/>
      <c r="K172" s="3">
        <f>IF($A172="","",IF($I172="YES","READY_TO_COPY","UPGRADE_ANCHOR"))</f>
        <v/>
      </c>
    </row>
    <row r="173">
      <c r="A173" s="3" t="inlineStr"/>
      <c r="B173" s="3" t="inlineStr"/>
      <c r="C173" s="3" t="inlineStr"/>
      <c r="D173" s="3" t="inlineStr"/>
      <c r="E173" s="3" t="inlineStr"/>
      <c r="F173" s="3" t="inlineStr"/>
      <c r="G173" s="3">
        <f>IF($E173="","",VLOOKUP($E173,RECORD_ITEMS!$A:$T,6,FALSE))</f>
        <v/>
      </c>
      <c r="H173" s="3">
        <f>IF($G173="","",LEN(TRIM($G173))-LEN(SUBSTITUTE(TRIM($G173)," ",""))+1)</f>
        <v/>
      </c>
      <c r="I173" s="3">
        <f>IF($H173="","",IF(AND($H173&gt;=8,$H173&lt;=20),"YES","NO"))</f>
        <v/>
      </c>
      <c r="J173" s="3" t="inlineStr"/>
      <c r="K173" s="3">
        <f>IF($A173="","",IF($I173="YES","READY_TO_COPY","UPGRADE_ANCHOR"))</f>
        <v/>
      </c>
    </row>
    <row r="174">
      <c r="A174" s="3" t="inlineStr"/>
      <c r="B174" s="3" t="inlineStr"/>
      <c r="C174" s="3" t="inlineStr"/>
      <c r="D174" s="3" t="inlineStr"/>
      <c r="E174" s="3" t="inlineStr"/>
      <c r="F174" s="3" t="inlineStr"/>
      <c r="G174" s="3">
        <f>IF($E174="","",VLOOKUP($E174,RECORD_ITEMS!$A:$T,6,FALSE))</f>
        <v/>
      </c>
      <c r="H174" s="3">
        <f>IF($G174="","",LEN(TRIM($G174))-LEN(SUBSTITUTE(TRIM($G174)," ",""))+1)</f>
        <v/>
      </c>
      <c r="I174" s="3">
        <f>IF($H174="","",IF(AND($H174&gt;=8,$H174&lt;=20),"YES","NO"))</f>
        <v/>
      </c>
      <c r="J174" s="3" t="inlineStr"/>
      <c r="K174" s="3">
        <f>IF($A174="","",IF($I174="YES","READY_TO_COPY","UPGRADE_ANCHOR"))</f>
        <v/>
      </c>
    </row>
    <row r="175">
      <c r="A175" s="3" t="inlineStr"/>
      <c r="B175" s="3" t="inlineStr"/>
      <c r="C175" s="3" t="inlineStr"/>
      <c r="D175" s="3" t="inlineStr"/>
      <c r="E175" s="3" t="inlineStr"/>
      <c r="F175" s="3" t="inlineStr"/>
      <c r="G175" s="3">
        <f>IF($E175="","",VLOOKUP($E175,RECORD_ITEMS!$A:$T,6,FALSE))</f>
        <v/>
      </c>
      <c r="H175" s="3">
        <f>IF($G175="","",LEN(TRIM($G175))-LEN(SUBSTITUTE(TRIM($G175)," ",""))+1)</f>
        <v/>
      </c>
      <c r="I175" s="3">
        <f>IF($H175="","",IF(AND($H175&gt;=8,$H175&lt;=20),"YES","NO"))</f>
        <v/>
      </c>
      <c r="J175" s="3" t="inlineStr"/>
      <c r="K175" s="3">
        <f>IF($A175="","",IF($I175="YES","READY_TO_COPY","UPGRADE_ANCHOR"))</f>
        <v/>
      </c>
    </row>
    <row r="176">
      <c r="A176" s="3" t="inlineStr"/>
      <c r="B176" s="3" t="inlineStr"/>
      <c r="C176" s="3" t="inlineStr"/>
      <c r="D176" s="3" t="inlineStr"/>
      <c r="E176" s="3" t="inlineStr"/>
      <c r="F176" s="3" t="inlineStr"/>
      <c r="G176" s="3">
        <f>IF($E176="","",VLOOKUP($E176,RECORD_ITEMS!$A:$T,6,FALSE))</f>
        <v/>
      </c>
      <c r="H176" s="3">
        <f>IF($G176="","",LEN(TRIM($G176))-LEN(SUBSTITUTE(TRIM($G176)," ",""))+1)</f>
        <v/>
      </c>
      <c r="I176" s="3">
        <f>IF($H176="","",IF(AND($H176&gt;=8,$H176&lt;=20),"YES","NO"))</f>
        <v/>
      </c>
      <c r="J176" s="3" t="inlineStr"/>
      <c r="K176" s="3">
        <f>IF($A176="","",IF($I176="YES","READY_TO_COPY","UPGRADE_ANCHOR"))</f>
        <v/>
      </c>
    </row>
    <row r="177">
      <c r="A177" s="3" t="inlineStr"/>
      <c r="B177" s="3" t="inlineStr"/>
      <c r="C177" s="3" t="inlineStr"/>
      <c r="D177" s="3" t="inlineStr"/>
      <c r="E177" s="3" t="inlineStr"/>
      <c r="F177" s="3" t="inlineStr"/>
      <c r="G177" s="3">
        <f>IF($E177="","",VLOOKUP($E177,RECORD_ITEMS!$A:$T,6,FALSE))</f>
        <v/>
      </c>
      <c r="H177" s="3">
        <f>IF($G177="","",LEN(TRIM($G177))-LEN(SUBSTITUTE(TRIM($G177)," ",""))+1)</f>
        <v/>
      </c>
      <c r="I177" s="3">
        <f>IF($H177="","",IF(AND($H177&gt;=8,$H177&lt;=20),"YES","NO"))</f>
        <v/>
      </c>
      <c r="J177" s="3" t="inlineStr"/>
      <c r="K177" s="3">
        <f>IF($A177="","",IF($I177="YES","READY_TO_COPY","UPGRADE_ANCHOR"))</f>
        <v/>
      </c>
    </row>
    <row r="178">
      <c r="A178" s="3" t="inlineStr"/>
      <c r="B178" s="3" t="inlineStr"/>
      <c r="C178" s="3" t="inlineStr"/>
      <c r="D178" s="3" t="inlineStr"/>
      <c r="E178" s="3" t="inlineStr"/>
      <c r="F178" s="3" t="inlineStr"/>
      <c r="G178" s="3">
        <f>IF($E178="","",VLOOKUP($E178,RECORD_ITEMS!$A:$T,6,FALSE))</f>
        <v/>
      </c>
      <c r="H178" s="3">
        <f>IF($G178="","",LEN(TRIM($G178))-LEN(SUBSTITUTE(TRIM($G178)," ",""))+1)</f>
        <v/>
      </c>
      <c r="I178" s="3">
        <f>IF($H178="","",IF(AND($H178&gt;=8,$H178&lt;=20),"YES","NO"))</f>
        <v/>
      </c>
      <c r="J178" s="3" t="inlineStr"/>
      <c r="K178" s="3">
        <f>IF($A178="","",IF($I178="YES","READY_TO_COPY","UPGRADE_ANCHOR"))</f>
        <v/>
      </c>
    </row>
    <row r="179">
      <c r="A179" s="3" t="inlineStr"/>
      <c r="B179" s="3" t="inlineStr"/>
      <c r="C179" s="3" t="inlineStr"/>
      <c r="D179" s="3" t="inlineStr"/>
      <c r="E179" s="3" t="inlineStr"/>
      <c r="F179" s="3" t="inlineStr"/>
      <c r="G179" s="3">
        <f>IF($E179="","",VLOOKUP($E179,RECORD_ITEMS!$A:$T,6,FALSE))</f>
        <v/>
      </c>
      <c r="H179" s="3">
        <f>IF($G179="","",LEN(TRIM($G179))-LEN(SUBSTITUTE(TRIM($G179)," ",""))+1)</f>
        <v/>
      </c>
      <c r="I179" s="3">
        <f>IF($H179="","",IF(AND($H179&gt;=8,$H179&lt;=20),"YES","NO"))</f>
        <v/>
      </c>
      <c r="J179" s="3" t="inlineStr"/>
      <c r="K179" s="3">
        <f>IF($A179="","",IF($I179="YES","READY_TO_COPY","UPGRADE_ANCHOR"))</f>
        <v/>
      </c>
    </row>
    <row r="180">
      <c r="A180" s="3" t="inlineStr"/>
      <c r="B180" s="3" t="inlineStr"/>
      <c r="C180" s="3" t="inlineStr"/>
      <c r="D180" s="3" t="inlineStr"/>
      <c r="E180" s="3" t="inlineStr"/>
      <c r="F180" s="3" t="inlineStr"/>
      <c r="G180" s="3">
        <f>IF($E180="","",VLOOKUP($E180,RECORD_ITEMS!$A:$T,6,FALSE))</f>
        <v/>
      </c>
      <c r="H180" s="3">
        <f>IF($G180="","",LEN(TRIM($G180))-LEN(SUBSTITUTE(TRIM($G180)," ",""))+1)</f>
        <v/>
      </c>
      <c r="I180" s="3">
        <f>IF($H180="","",IF(AND($H180&gt;=8,$H180&lt;=20),"YES","NO"))</f>
        <v/>
      </c>
      <c r="J180" s="3" t="inlineStr"/>
      <c r="K180" s="3">
        <f>IF($A180="","",IF($I180="YES","READY_TO_COPY","UPGRADE_ANCHOR"))</f>
        <v/>
      </c>
    </row>
    <row r="181">
      <c r="A181" s="3" t="inlineStr"/>
      <c r="B181" s="3" t="inlineStr"/>
      <c r="C181" s="3" t="inlineStr"/>
      <c r="D181" s="3" t="inlineStr"/>
      <c r="E181" s="3" t="inlineStr"/>
      <c r="F181" s="3" t="inlineStr"/>
      <c r="G181" s="3">
        <f>IF($E181="","",VLOOKUP($E181,RECORD_ITEMS!$A:$T,6,FALSE))</f>
        <v/>
      </c>
      <c r="H181" s="3">
        <f>IF($G181="","",LEN(TRIM($G181))-LEN(SUBSTITUTE(TRIM($G181)," ",""))+1)</f>
        <v/>
      </c>
      <c r="I181" s="3">
        <f>IF($H181="","",IF(AND($H181&gt;=8,$H181&lt;=20),"YES","NO"))</f>
        <v/>
      </c>
      <c r="J181" s="3" t="inlineStr"/>
      <c r="K181" s="3">
        <f>IF($A181="","",IF($I181="YES","READY_TO_COPY","UPGRADE_ANCHOR"))</f>
        <v/>
      </c>
    </row>
    <row r="182">
      <c r="A182" s="3" t="inlineStr"/>
      <c r="B182" s="3" t="inlineStr"/>
      <c r="C182" s="3" t="inlineStr"/>
      <c r="D182" s="3" t="inlineStr"/>
      <c r="E182" s="3" t="inlineStr"/>
      <c r="F182" s="3" t="inlineStr"/>
      <c r="G182" s="3">
        <f>IF($E182="","",VLOOKUP($E182,RECORD_ITEMS!$A:$T,6,FALSE))</f>
        <v/>
      </c>
      <c r="H182" s="3">
        <f>IF($G182="","",LEN(TRIM($G182))-LEN(SUBSTITUTE(TRIM($G182)," ",""))+1)</f>
        <v/>
      </c>
      <c r="I182" s="3">
        <f>IF($H182="","",IF(AND($H182&gt;=8,$H182&lt;=20),"YES","NO"))</f>
        <v/>
      </c>
      <c r="J182" s="3" t="inlineStr"/>
      <c r="K182" s="3">
        <f>IF($A182="","",IF($I182="YES","READY_TO_COPY","UPGRADE_ANCHOR"))</f>
        <v/>
      </c>
    </row>
    <row r="183">
      <c r="A183" s="3" t="inlineStr"/>
      <c r="B183" s="3" t="inlineStr"/>
      <c r="C183" s="3" t="inlineStr"/>
      <c r="D183" s="3" t="inlineStr"/>
      <c r="E183" s="3" t="inlineStr"/>
      <c r="F183" s="3" t="inlineStr"/>
      <c r="G183" s="3">
        <f>IF($E183="","",VLOOKUP($E183,RECORD_ITEMS!$A:$T,6,FALSE))</f>
        <v/>
      </c>
      <c r="H183" s="3">
        <f>IF($G183="","",LEN(TRIM($G183))-LEN(SUBSTITUTE(TRIM($G183)," ",""))+1)</f>
        <v/>
      </c>
      <c r="I183" s="3">
        <f>IF($H183="","",IF(AND($H183&gt;=8,$H183&lt;=20),"YES","NO"))</f>
        <v/>
      </c>
      <c r="J183" s="3" t="inlineStr"/>
      <c r="K183" s="3">
        <f>IF($A183="","",IF($I183="YES","READY_TO_COPY","UPGRADE_ANCHOR"))</f>
        <v/>
      </c>
    </row>
    <row r="184">
      <c r="A184" s="3" t="inlineStr"/>
      <c r="B184" s="3" t="inlineStr"/>
      <c r="C184" s="3" t="inlineStr"/>
      <c r="D184" s="3" t="inlineStr"/>
      <c r="E184" s="3" t="inlineStr"/>
      <c r="F184" s="3" t="inlineStr"/>
      <c r="G184" s="3">
        <f>IF($E184="","",VLOOKUP($E184,RECORD_ITEMS!$A:$T,6,FALSE))</f>
        <v/>
      </c>
      <c r="H184" s="3">
        <f>IF($G184="","",LEN(TRIM($G184))-LEN(SUBSTITUTE(TRIM($G184)," ",""))+1)</f>
        <v/>
      </c>
      <c r="I184" s="3">
        <f>IF($H184="","",IF(AND($H184&gt;=8,$H184&lt;=20),"YES","NO"))</f>
        <v/>
      </c>
      <c r="J184" s="3" t="inlineStr"/>
      <c r="K184" s="3">
        <f>IF($A184="","",IF($I184="YES","READY_TO_COPY","UPGRADE_ANCHOR"))</f>
        <v/>
      </c>
    </row>
    <row r="185">
      <c r="A185" s="3" t="inlineStr"/>
      <c r="B185" s="3" t="inlineStr"/>
      <c r="C185" s="3" t="inlineStr"/>
      <c r="D185" s="3" t="inlineStr"/>
      <c r="E185" s="3" t="inlineStr"/>
      <c r="F185" s="3" t="inlineStr"/>
      <c r="G185" s="3">
        <f>IF($E185="","",VLOOKUP($E185,RECORD_ITEMS!$A:$T,6,FALSE))</f>
        <v/>
      </c>
      <c r="H185" s="3">
        <f>IF($G185="","",LEN(TRIM($G185))-LEN(SUBSTITUTE(TRIM($G185)," ",""))+1)</f>
        <v/>
      </c>
      <c r="I185" s="3">
        <f>IF($H185="","",IF(AND($H185&gt;=8,$H185&lt;=20),"YES","NO"))</f>
        <v/>
      </c>
      <c r="J185" s="3" t="inlineStr"/>
      <c r="K185" s="3">
        <f>IF($A185="","",IF($I185="YES","READY_TO_COPY","UPGRADE_ANCHOR"))</f>
        <v/>
      </c>
    </row>
    <row r="186">
      <c r="A186" s="3" t="inlineStr"/>
      <c r="B186" s="3" t="inlineStr"/>
      <c r="C186" s="3" t="inlineStr"/>
      <c r="D186" s="3" t="inlineStr"/>
      <c r="E186" s="3" t="inlineStr"/>
      <c r="F186" s="3" t="inlineStr"/>
      <c r="G186" s="3">
        <f>IF($E186="","",VLOOKUP($E186,RECORD_ITEMS!$A:$T,6,FALSE))</f>
        <v/>
      </c>
      <c r="H186" s="3">
        <f>IF($G186="","",LEN(TRIM($G186))-LEN(SUBSTITUTE(TRIM($G186)," ",""))+1)</f>
        <v/>
      </c>
      <c r="I186" s="3">
        <f>IF($H186="","",IF(AND($H186&gt;=8,$H186&lt;=20),"YES","NO"))</f>
        <v/>
      </c>
      <c r="J186" s="3" t="inlineStr"/>
      <c r="K186" s="3">
        <f>IF($A186="","",IF($I186="YES","READY_TO_COPY","UPGRADE_ANCHOR"))</f>
        <v/>
      </c>
    </row>
    <row r="187">
      <c r="A187" s="3" t="inlineStr"/>
      <c r="B187" s="3" t="inlineStr"/>
      <c r="C187" s="3" t="inlineStr"/>
      <c r="D187" s="3" t="inlineStr"/>
      <c r="E187" s="3" t="inlineStr"/>
      <c r="F187" s="3" t="inlineStr"/>
      <c r="G187" s="3">
        <f>IF($E187="","",VLOOKUP($E187,RECORD_ITEMS!$A:$T,6,FALSE))</f>
        <v/>
      </c>
      <c r="H187" s="3">
        <f>IF($G187="","",LEN(TRIM($G187))-LEN(SUBSTITUTE(TRIM($G187)," ",""))+1)</f>
        <v/>
      </c>
      <c r="I187" s="3">
        <f>IF($H187="","",IF(AND($H187&gt;=8,$H187&lt;=20),"YES","NO"))</f>
        <v/>
      </c>
      <c r="J187" s="3" t="inlineStr"/>
      <c r="K187" s="3">
        <f>IF($A187="","",IF($I187="YES","READY_TO_COPY","UPGRADE_ANCHOR"))</f>
        <v/>
      </c>
    </row>
    <row r="188">
      <c r="A188" s="3" t="inlineStr"/>
      <c r="B188" s="3" t="inlineStr"/>
      <c r="C188" s="3" t="inlineStr"/>
      <c r="D188" s="3" t="inlineStr"/>
      <c r="E188" s="3" t="inlineStr"/>
      <c r="F188" s="3" t="inlineStr"/>
      <c r="G188" s="3">
        <f>IF($E188="","",VLOOKUP($E188,RECORD_ITEMS!$A:$T,6,FALSE))</f>
        <v/>
      </c>
      <c r="H188" s="3">
        <f>IF($G188="","",LEN(TRIM($G188))-LEN(SUBSTITUTE(TRIM($G188)," ",""))+1)</f>
        <v/>
      </c>
      <c r="I188" s="3">
        <f>IF($H188="","",IF(AND($H188&gt;=8,$H188&lt;=20),"YES","NO"))</f>
        <v/>
      </c>
      <c r="J188" s="3" t="inlineStr"/>
      <c r="K188" s="3">
        <f>IF($A188="","",IF($I188="YES","READY_TO_COPY","UPGRADE_ANCHOR"))</f>
        <v/>
      </c>
    </row>
    <row r="189">
      <c r="A189" s="3" t="inlineStr"/>
      <c r="B189" s="3" t="inlineStr"/>
      <c r="C189" s="3" t="inlineStr"/>
      <c r="D189" s="3" t="inlineStr"/>
      <c r="E189" s="3" t="inlineStr"/>
      <c r="F189" s="3" t="inlineStr"/>
      <c r="G189" s="3">
        <f>IF($E189="","",VLOOKUP($E189,RECORD_ITEMS!$A:$T,6,FALSE))</f>
        <v/>
      </c>
      <c r="H189" s="3">
        <f>IF($G189="","",LEN(TRIM($G189))-LEN(SUBSTITUTE(TRIM($G189)," ",""))+1)</f>
        <v/>
      </c>
      <c r="I189" s="3">
        <f>IF($H189="","",IF(AND($H189&gt;=8,$H189&lt;=20),"YES","NO"))</f>
        <v/>
      </c>
      <c r="J189" s="3" t="inlineStr"/>
      <c r="K189" s="3">
        <f>IF($A189="","",IF($I189="YES","READY_TO_COPY","UPGRADE_ANCHOR"))</f>
        <v/>
      </c>
    </row>
    <row r="190">
      <c r="A190" s="3" t="inlineStr"/>
      <c r="B190" s="3" t="inlineStr"/>
      <c r="C190" s="3" t="inlineStr"/>
      <c r="D190" s="3" t="inlineStr"/>
      <c r="E190" s="3" t="inlineStr"/>
      <c r="F190" s="3" t="inlineStr"/>
      <c r="G190" s="3">
        <f>IF($E190="","",VLOOKUP($E190,RECORD_ITEMS!$A:$T,6,FALSE))</f>
        <v/>
      </c>
      <c r="H190" s="3">
        <f>IF($G190="","",LEN(TRIM($G190))-LEN(SUBSTITUTE(TRIM($G190)," ",""))+1)</f>
        <v/>
      </c>
      <c r="I190" s="3">
        <f>IF($H190="","",IF(AND($H190&gt;=8,$H190&lt;=20),"YES","NO"))</f>
        <v/>
      </c>
      <c r="J190" s="3" t="inlineStr"/>
      <c r="K190" s="3">
        <f>IF($A190="","",IF($I190="YES","READY_TO_COPY","UPGRADE_ANCHOR"))</f>
        <v/>
      </c>
    </row>
    <row r="191">
      <c r="A191" s="3" t="inlineStr"/>
      <c r="B191" s="3" t="inlineStr"/>
      <c r="C191" s="3" t="inlineStr"/>
      <c r="D191" s="3" t="inlineStr"/>
      <c r="E191" s="3" t="inlineStr"/>
      <c r="F191" s="3" t="inlineStr"/>
      <c r="G191" s="3">
        <f>IF($E191="","",VLOOKUP($E191,RECORD_ITEMS!$A:$T,6,FALSE))</f>
        <v/>
      </c>
      <c r="H191" s="3">
        <f>IF($G191="","",LEN(TRIM($G191))-LEN(SUBSTITUTE(TRIM($G191)," ",""))+1)</f>
        <v/>
      </c>
      <c r="I191" s="3">
        <f>IF($H191="","",IF(AND($H191&gt;=8,$H191&lt;=20),"YES","NO"))</f>
        <v/>
      </c>
      <c r="J191" s="3" t="inlineStr"/>
      <c r="K191" s="3">
        <f>IF($A191="","",IF($I191="YES","READY_TO_COPY","UPGRADE_ANCHOR"))</f>
        <v/>
      </c>
    </row>
    <row r="192">
      <c r="A192" s="3" t="inlineStr"/>
      <c r="B192" s="3" t="inlineStr"/>
      <c r="C192" s="3" t="inlineStr"/>
      <c r="D192" s="3" t="inlineStr"/>
      <c r="E192" s="3" t="inlineStr"/>
      <c r="F192" s="3" t="inlineStr"/>
      <c r="G192" s="3">
        <f>IF($E192="","",VLOOKUP($E192,RECORD_ITEMS!$A:$T,6,FALSE))</f>
        <v/>
      </c>
      <c r="H192" s="3">
        <f>IF($G192="","",LEN(TRIM($G192))-LEN(SUBSTITUTE(TRIM($G192)," ",""))+1)</f>
        <v/>
      </c>
      <c r="I192" s="3">
        <f>IF($H192="","",IF(AND($H192&gt;=8,$H192&lt;=20),"YES","NO"))</f>
        <v/>
      </c>
      <c r="J192" s="3" t="inlineStr"/>
      <c r="K192" s="3">
        <f>IF($A192="","",IF($I192="YES","READY_TO_COPY","UPGRADE_ANCHOR"))</f>
        <v/>
      </c>
    </row>
    <row r="193">
      <c r="A193" s="3" t="inlineStr"/>
      <c r="B193" s="3" t="inlineStr"/>
      <c r="C193" s="3" t="inlineStr"/>
      <c r="D193" s="3" t="inlineStr"/>
      <c r="E193" s="3" t="inlineStr"/>
      <c r="F193" s="3" t="inlineStr"/>
      <c r="G193" s="3">
        <f>IF($E193="","",VLOOKUP($E193,RECORD_ITEMS!$A:$T,6,FALSE))</f>
        <v/>
      </c>
      <c r="H193" s="3">
        <f>IF($G193="","",LEN(TRIM($G193))-LEN(SUBSTITUTE(TRIM($G193)," ",""))+1)</f>
        <v/>
      </c>
      <c r="I193" s="3">
        <f>IF($H193="","",IF(AND($H193&gt;=8,$H193&lt;=20),"YES","NO"))</f>
        <v/>
      </c>
      <c r="J193" s="3" t="inlineStr"/>
      <c r="K193" s="3">
        <f>IF($A193="","",IF($I193="YES","READY_TO_COPY","UPGRADE_ANCHOR"))</f>
        <v/>
      </c>
    </row>
    <row r="194">
      <c r="A194" s="3" t="inlineStr"/>
      <c r="B194" s="3" t="inlineStr"/>
      <c r="C194" s="3" t="inlineStr"/>
      <c r="D194" s="3" t="inlineStr"/>
      <c r="E194" s="3" t="inlineStr"/>
      <c r="F194" s="3" t="inlineStr"/>
      <c r="G194" s="3">
        <f>IF($E194="","",VLOOKUP($E194,RECORD_ITEMS!$A:$T,6,FALSE))</f>
        <v/>
      </c>
      <c r="H194" s="3">
        <f>IF($G194="","",LEN(TRIM($G194))-LEN(SUBSTITUTE(TRIM($G194)," ",""))+1)</f>
        <v/>
      </c>
      <c r="I194" s="3">
        <f>IF($H194="","",IF(AND($H194&gt;=8,$H194&lt;=20),"YES","NO"))</f>
        <v/>
      </c>
      <c r="J194" s="3" t="inlineStr"/>
      <c r="K194" s="3">
        <f>IF($A194="","",IF($I194="YES","READY_TO_COPY","UPGRADE_ANCHOR"))</f>
        <v/>
      </c>
    </row>
    <row r="195">
      <c r="A195" s="3" t="inlineStr"/>
      <c r="B195" s="3" t="inlineStr"/>
      <c r="C195" s="3" t="inlineStr"/>
      <c r="D195" s="3" t="inlineStr"/>
      <c r="E195" s="3" t="inlineStr"/>
      <c r="F195" s="3" t="inlineStr"/>
      <c r="G195" s="3">
        <f>IF($E195="","",VLOOKUP($E195,RECORD_ITEMS!$A:$T,6,FALSE))</f>
        <v/>
      </c>
      <c r="H195" s="3">
        <f>IF($G195="","",LEN(TRIM($G195))-LEN(SUBSTITUTE(TRIM($G195)," ",""))+1)</f>
        <v/>
      </c>
      <c r="I195" s="3">
        <f>IF($H195="","",IF(AND($H195&gt;=8,$H195&lt;=20),"YES","NO"))</f>
        <v/>
      </c>
      <c r="J195" s="3" t="inlineStr"/>
      <c r="K195" s="3">
        <f>IF($A195="","",IF($I195="YES","READY_TO_COPY","UPGRADE_ANCHOR"))</f>
        <v/>
      </c>
    </row>
    <row r="196">
      <c r="A196" s="3" t="inlineStr"/>
      <c r="B196" s="3" t="inlineStr"/>
      <c r="C196" s="3" t="inlineStr"/>
      <c r="D196" s="3" t="inlineStr"/>
      <c r="E196" s="3" t="inlineStr"/>
      <c r="F196" s="3" t="inlineStr"/>
      <c r="G196" s="3">
        <f>IF($E196="","",VLOOKUP($E196,RECORD_ITEMS!$A:$T,6,FALSE))</f>
        <v/>
      </c>
      <c r="H196" s="3">
        <f>IF($G196="","",LEN(TRIM($G196))-LEN(SUBSTITUTE(TRIM($G196)," ",""))+1)</f>
        <v/>
      </c>
      <c r="I196" s="3">
        <f>IF($H196="","",IF(AND($H196&gt;=8,$H196&lt;=20),"YES","NO"))</f>
        <v/>
      </c>
      <c r="J196" s="3" t="inlineStr"/>
      <c r="K196" s="3">
        <f>IF($A196="","",IF($I196="YES","READY_TO_COPY","UPGRADE_ANCHOR"))</f>
        <v/>
      </c>
    </row>
    <row r="197">
      <c r="A197" s="3" t="inlineStr"/>
      <c r="B197" s="3" t="inlineStr"/>
      <c r="C197" s="3" t="inlineStr"/>
      <c r="D197" s="3" t="inlineStr"/>
      <c r="E197" s="3" t="inlineStr"/>
      <c r="F197" s="3" t="inlineStr"/>
      <c r="G197" s="3">
        <f>IF($E197="","",VLOOKUP($E197,RECORD_ITEMS!$A:$T,6,FALSE))</f>
        <v/>
      </c>
      <c r="H197" s="3">
        <f>IF($G197="","",LEN(TRIM($G197))-LEN(SUBSTITUTE(TRIM($G197)," ",""))+1)</f>
        <v/>
      </c>
      <c r="I197" s="3">
        <f>IF($H197="","",IF(AND($H197&gt;=8,$H197&lt;=20),"YES","NO"))</f>
        <v/>
      </c>
      <c r="J197" s="3" t="inlineStr"/>
      <c r="K197" s="3">
        <f>IF($A197="","",IF($I197="YES","READY_TO_COPY","UPGRADE_ANCHOR"))</f>
        <v/>
      </c>
    </row>
    <row r="198">
      <c r="A198" s="3" t="inlineStr"/>
      <c r="B198" s="3" t="inlineStr"/>
      <c r="C198" s="3" t="inlineStr"/>
      <c r="D198" s="3" t="inlineStr"/>
      <c r="E198" s="3" t="inlineStr"/>
      <c r="F198" s="3" t="inlineStr"/>
      <c r="G198" s="3">
        <f>IF($E198="","",VLOOKUP($E198,RECORD_ITEMS!$A:$T,6,FALSE))</f>
        <v/>
      </c>
      <c r="H198" s="3">
        <f>IF($G198="","",LEN(TRIM($G198))-LEN(SUBSTITUTE(TRIM($G198)," ",""))+1)</f>
        <v/>
      </c>
      <c r="I198" s="3">
        <f>IF($H198="","",IF(AND($H198&gt;=8,$H198&lt;=20),"YES","NO"))</f>
        <v/>
      </c>
      <c r="J198" s="3" t="inlineStr"/>
      <c r="K198" s="3">
        <f>IF($A198="","",IF($I198="YES","READY_TO_COPY","UPGRADE_ANCHOR"))</f>
        <v/>
      </c>
    </row>
    <row r="199">
      <c r="A199" s="3" t="inlineStr"/>
      <c r="B199" s="3" t="inlineStr"/>
      <c r="C199" s="3" t="inlineStr"/>
      <c r="D199" s="3" t="inlineStr"/>
      <c r="E199" s="3" t="inlineStr"/>
      <c r="F199" s="3" t="inlineStr"/>
      <c r="G199" s="3">
        <f>IF($E199="","",VLOOKUP($E199,RECORD_ITEMS!$A:$T,6,FALSE))</f>
        <v/>
      </c>
      <c r="H199" s="3">
        <f>IF($G199="","",LEN(TRIM($G199))-LEN(SUBSTITUTE(TRIM($G199)," ",""))+1)</f>
        <v/>
      </c>
      <c r="I199" s="3">
        <f>IF($H199="","",IF(AND($H199&gt;=8,$H199&lt;=20),"YES","NO"))</f>
        <v/>
      </c>
      <c r="J199" s="3" t="inlineStr"/>
      <c r="K199" s="3">
        <f>IF($A199="","",IF($I199="YES","READY_TO_COPY","UPGRADE_ANCHOR"))</f>
        <v/>
      </c>
    </row>
    <row r="200">
      <c r="A200" s="3" t="inlineStr"/>
      <c r="B200" s="3" t="inlineStr"/>
      <c r="C200" s="3" t="inlineStr"/>
      <c r="D200" s="3" t="inlineStr"/>
      <c r="E200" s="3" t="inlineStr"/>
      <c r="F200" s="3" t="inlineStr"/>
      <c r="G200" s="3">
        <f>IF($E200="","",VLOOKUP($E200,RECORD_ITEMS!$A:$T,6,FALSE))</f>
        <v/>
      </c>
      <c r="H200" s="3">
        <f>IF($G200="","",LEN(TRIM($G200))-LEN(SUBSTITUTE(TRIM($G200)," ",""))+1)</f>
        <v/>
      </c>
      <c r="I200" s="3">
        <f>IF($H200="","",IF(AND($H200&gt;=8,$H200&lt;=20),"YES","NO"))</f>
        <v/>
      </c>
      <c r="J200" s="3" t="inlineStr"/>
      <c r="K200" s="3">
        <f>IF($A200="","",IF($I200="YES","READY_TO_COPY","UPGRADE_ANCHOR"))</f>
        <v/>
      </c>
    </row>
    <row r="201">
      <c r="A201" s="3" t="inlineStr"/>
      <c r="B201" s="3" t="inlineStr"/>
      <c r="C201" s="3" t="inlineStr"/>
      <c r="D201" s="3" t="inlineStr"/>
      <c r="E201" s="3" t="inlineStr"/>
      <c r="F201" s="3" t="inlineStr"/>
      <c r="G201" s="3">
        <f>IF($E201="","",VLOOKUP($E201,RECORD_ITEMS!$A:$T,6,FALSE))</f>
        <v/>
      </c>
      <c r="H201" s="3">
        <f>IF($G201="","",LEN(TRIM($G201))-LEN(SUBSTITUTE(TRIM($G201)," ",""))+1)</f>
        <v/>
      </c>
      <c r="I201" s="3">
        <f>IF($H201="","",IF(AND($H201&gt;=8,$H201&lt;=20),"YES","NO"))</f>
        <v/>
      </c>
      <c r="J201" s="3" t="inlineStr"/>
      <c r="K201" s="3">
        <f>IF($A201="","",IF($I201="YES","READY_TO_COPY","UPGRADE_ANCHOR"))</f>
        <v/>
      </c>
    </row>
  </sheetData>
  <dataValidations count="6">
    <dataValidation sqref="A2:A201" showDropDown="0" showInputMessage="0" showErrorMessage="0" allowBlank="1" type="list">
      <formula1>=LISTS!$A$2:$A$140</formula1>
    </dataValidation>
    <dataValidation sqref="B2:B201" showDropDown="0" showInputMessage="0" showErrorMessage="0" allowBlank="1" type="list">
      <formula1>=LISTS!$A$2:$A$140</formula1>
    </dataValidation>
    <dataValidation sqref="C2:C201" showDropDown="0" showInputMessage="0" showErrorMessage="0" allowBlank="1" type="list">
      <formula1>=LISTS!$D$2:$D$25</formula1>
    </dataValidation>
    <dataValidation sqref="D2:D201" showDropDown="0" showInputMessage="0" showErrorMessage="0" allowBlank="1" type="list">
      <formula1>=LISTS!$E$2:$E$6</formula1>
    </dataValidation>
    <dataValidation sqref="E2:E201" showDropDown="0" showInputMessage="0" showErrorMessage="0" allowBlank="1" type="list">
      <formula1>=LISTS!$B$2:$B$8</formula1>
    </dataValidation>
    <dataValidation sqref="F2:F201" showDropDown="0" showInputMessage="0" showErrorMessage="0" allowBlank="1" type="list">
      <formula1>=LISTS!$C$2:$C$3</formula1>
    </dataValidation>
  </dataValidation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140"/>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s>
  <sheetData>
    <row r="1">
      <c r="A1" s="4" t="inlineStr">
        <is>
          <t>Entity_IDs</t>
        </is>
      </c>
      <c r="B1" s="4" t="inlineStr">
        <is>
          <t>RecordItem_IDs</t>
        </is>
      </c>
      <c r="C1" s="4" t="inlineStr">
        <is>
          <t>Authority_IDs</t>
        </is>
      </c>
      <c r="D1" s="4" t="inlineStr">
        <is>
          <t>Relation_Types</t>
        </is>
      </c>
      <c r="E1" s="4" t="inlineStr">
        <is>
          <t>Layers</t>
        </is>
      </c>
    </row>
    <row r="2">
      <c r="A2" t="inlineStr">
        <is>
          <t>01_06_2018</t>
        </is>
      </c>
      <c r="B2" t="inlineStr">
        <is>
          <t>ROA-TXT-1336</t>
        </is>
      </c>
      <c r="C2" t="inlineStr">
        <is>
          <t>AUTH-FL-RULE-1510</t>
        </is>
      </c>
      <c r="D2" t="inlineStr">
        <is>
          <t>CONTAINS</t>
        </is>
      </c>
      <c r="E2" t="inlineStr">
        <is>
          <t>ROA_SPINE</t>
        </is>
      </c>
    </row>
    <row r="3">
      <c r="A3" t="inlineStr">
        <is>
          <t>01_14_2020</t>
        </is>
      </c>
      <c r="B3" t="inlineStr">
        <is>
          <t>ROA-TXT-16626</t>
        </is>
      </c>
      <c r="C3" t="inlineStr">
        <is>
          <t>AUTH-FL-VALCIN</t>
        </is>
      </c>
      <c r="D3" t="inlineStr">
        <is>
          <t>SUPPORTS_ISSUE</t>
        </is>
      </c>
      <c r="E3" t="inlineStr">
        <is>
          <t>COURT_FINDING</t>
        </is>
      </c>
    </row>
    <row r="4">
      <c r="A4" t="inlineStr">
        <is>
          <t>05_18_2018</t>
        </is>
      </c>
      <c r="B4" t="inlineStr">
        <is>
          <t>ROA-TXT-17966</t>
        </is>
      </c>
      <c r="D4" t="inlineStr">
        <is>
          <t>EVIDENCED_BY</t>
        </is>
      </c>
      <c r="E4" t="inlineStr">
        <is>
          <t>MOTION_ASSERTION</t>
        </is>
      </c>
    </row>
    <row r="5">
      <c r="A5" t="inlineStr">
        <is>
          <t>08_02_2025</t>
        </is>
      </c>
      <c r="B5" t="inlineStr">
        <is>
          <t>ROA-TXT-18011</t>
        </is>
      </c>
      <c r="D5" t="inlineStr">
        <is>
          <t>SUPPORTED_BY</t>
        </is>
      </c>
      <c r="E5" t="inlineStr">
        <is>
          <t>EVIDENCE_ITEM</t>
        </is>
      </c>
    </row>
    <row r="6">
      <c r="A6" t="inlineStr">
        <is>
          <t>09_02_2025</t>
        </is>
      </c>
      <c r="B6" t="inlineStr">
        <is>
          <t>ROA-TXT-18017</t>
        </is>
      </c>
      <c r="D6" t="inlineStr">
        <is>
          <t>CITED_IN</t>
        </is>
      </c>
      <c r="E6" t="inlineStr">
        <is>
          <t>EVIDENCE_REFERENCE</t>
        </is>
      </c>
    </row>
    <row r="7">
      <c r="A7" t="inlineStr">
        <is>
          <t>12562763</t>
        </is>
      </c>
      <c r="B7" t="inlineStr">
        <is>
          <t>ROA-TXT-5960</t>
        </is>
      </c>
      <c r="D7" t="inlineStr">
        <is>
          <t>ENTERED_BY</t>
        </is>
      </c>
    </row>
    <row r="8">
      <c r="A8" t="inlineStr">
        <is>
          <t>1272649</t>
        </is>
      </c>
      <c r="B8" t="inlineStr">
        <is>
          <t>ROA-TXT-5962</t>
        </is>
      </c>
      <c r="D8" t="inlineStr">
        <is>
          <t>FILED_BY</t>
        </is>
      </c>
    </row>
    <row r="9">
      <c r="A9" t="inlineStr">
        <is>
          <t>12_22_2017</t>
        </is>
      </c>
      <c r="D9" t="inlineStr">
        <is>
          <t>ORDER_IN</t>
        </is>
      </c>
    </row>
    <row r="10">
      <c r="A10" t="inlineStr">
        <is>
          <t>15000</t>
        </is>
      </c>
      <c r="D10" t="inlineStr">
        <is>
          <t>HEARING_ON</t>
        </is>
      </c>
    </row>
    <row r="11">
      <c r="A11" t="inlineStr">
        <is>
          <t>2018-011311-CC-05</t>
        </is>
      </c>
      <c r="D11" t="inlineStr">
        <is>
          <t>CONTRADICTED_BY</t>
        </is>
      </c>
    </row>
    <row r="12">
      <c r="A12" t="inlineStr">
        <is>
          <t>2020-000746-CA-01</t>
        </is>
      </c>
      <c r="D12" t="inlineStr">
        <is>
          <t>CONTRADICTS</t>
        </is>
      </c>
    </row>
    <row r="13">
      <c r="A13" t="inlineStr">
        <is>
          <t>3D25-1676</t>
        </is>
      </c>
      <c r="D13" t="inlineStr">
        <is>
          <t>AFFECTS</t>
        </is>
      </c>
    </row>
    <row r="14">
      <c r="A14" t="inlineStr">
        <is>
          <t>AD-1-REJECTED</t>
        </is>
      </c>
      <c r="D14" t="inlineStr">
        <is>
          <t>INVOLVES</t>
        </is>
      </c>
    </row>
    <row r="15">
      <c r="A15" t="inlineStr">
        <is>
          <t>AD-2-REJECTED</t>
        </is>
      </c>
      <c r="D15" t="inlineStr">
        <is>
          <t>BLOCKS</t>
        </is>
      </c>
    </row>
    <row r="16">
      <c r="A16" t="inlineStr">
        <is>
          <t>AD-3-REJECTED</t>
        </is>
      </c>
      <c r="D16" t="inlineStr">
        <is>
          <t>RELATES_TO</t>
        </is>
      </c>
    </row>
    <row r="17">
      <c r="A17" t="inlineStr">
        <is>
          <t>AD-4-REJECTED</t>
        </is>
      </c>
      <c r="D17" t="inlineStr">
        <is>
          <t>GOVERNS</t>
        </is>
      </c>
    </row>
    <row r="18">
      <c r="A18" t="inlineStr">
        <is>
          <t>AD-5-REJECTED</t>
        </is>
      </c>
      <c r="D18" t="inlineStr">
        <is>
          <t>DATED</t>
        </is>
      </c>
    </row>
    <row r="19">
      <c r="A19" t="inlineStr">
        <is>
          <t>AD-6-REJECTED</t>
        </is>
      </c>
      <c r="D19" t="inlineStr">
        <is>
          <t>FILED_ON</t>
        </is>
      </c>
    </row>
    <row r="20">
      <c r="A20" t="inlineStr">
        <is>
          <t>AD-7-REJECTED</t>
        </is>
      </c>
      <c r="D20" t="inlineStr">
        <is>
          <t>ENTERED_ON</t>
        </is>
      </c>
    </row>
    <row r="21">
      <c r="A21" t="inlineStr">
        <is>
          <t>AUTH-FL-RULE-1510</t>
        </is>
      </c>
      <c r="D21" t="inlineStr">
        <is>
          <t>TRANSFERRED_FROM</t>
        </is>
      </c>
    </row>
    <row r="22">
      <c r="A22" t="inlineStr">
        <is>
          <t>AUTH-FL-VALCIN</t>
        </is>
      </c>
      <c r="D22" t="inlineStr">
        <is>
          <t>TRANSFERRED_TO</t>
        </is>
      </c>
    </row>
    <row r="23">
      <c r="A23" t="inlineStr">
        <is>
          <t>Ariella_J_Gutman</t>
        </is>
      </c>
      <c r="D23" t="inlineStr">
        <is>
          <t>APPEAL_OF</t>
        </is>
      </c>
    </row>
    <row r="24">
      <c r="A24" t="inlineStr">
        <is>
          <t>CIR-109/DIN109</t>
        </is>
      </c>
      <c r="D24" t="inlineStr">
        <is>
          <t>REPRESENTS</t>
        </is>
      </c>
    </row>
    <row r="25">
      <c r="A25" t="inlineStr">
        <is>
          <t>CIR-126</t>
        </is>
      </c>
      <c r="D25" t="inlineStr">
        <is>
          <t>COUNSEL_FOR</t>
        </is>
      </c>
    </row>
    <row r="26">
      <c r="A26" t="inlineStr">
        <is>
          <t>CIR-135/DIN135</t>
        </is>
      </c>
    </row>
    <row r="27">
      <c r="A27" t="inlineStr">
        <is>
          <t>CIR-142</t>
        </is>
      </c>
    </row>
    <row r="28">
      <c r="A28" t="inlineStr">
        <is>
          <t>CIR-148/DIN148</t>
        </is>
      </c>
    </row>
    <row r="29">
      <c r="A29" t="inlineStr">
        <is>
          <t>CIR-151/DIN151</t>
        </is>
      </c>
    </row>
    <row r="30">
      <c r="A30" t="inlineStr">
        <is>
          <t>CIR-158/DIN158</t>
        </is>
      </c>
    </row>
    <row r="31">
      <c r="A31" t="inlineStr">
        <is>
          <t>CIR-161/DIN161</t>
        </is>
      </c>
    </row>
    <row r="32">
      <c r="A32" t="inlineStr">
        <is>
          <t>CIR-164/DIN164</t>
        </is>
      </c>
    </row>
    <row r="33">
      <c r="A33" t="inlineStr">
        <is>
          <t>CIR-169/DIN169</t>
        </is>
      </c>
    </row>
    <row r="34">
      <c r="A34" t="inlineStr">
        <is>
          <t>CIR-170/DIN170</t>
        </is>
      </c>
    </row>
    <row r="35">
      <c r="A35" t="inlineStr">
        <is>
          <t>CIR-173/DIN173</t>
        </is>
      </c>
    </row>
    <row r="36">
      <c r="A36" t="inlineStr">
        <is>
          <t>CIR-176/DIN176</t>
        </is>
      </c>
    </row>
    <row r="37">
      <c r="A37" t="inlineStr">
        <is>
          <t>CIR-178/DIN178</t>
        </is>
      </c>
    </row>
    <row r="38">
      <c r="A38" t="inlineStr">
        <is>
          <t>CIR-99/DIN99</t>
        </is>
      </c>
    </row>
    <row r="39">
      <c r="A39" t="inlineStr">
        <is>
          <t>CLM-DAM-001</t>
        </is>
      </c>
    </row>
    <row r="40">
      <c r="A40" t="inlineStr">
        <is>
          <t>CLM-DAM-002</t>
        </is>
      </c>
    </row>
    <row r="41">
      <c r="A41" t="inlineStr">
        <is>
          <t>CLM-SPO-001</t>
        </is>
      </c>
    </row>
    <row r="42">
      <c r="A42" t="inlineStr">
        <is>
          <t>CLM-SPO-002</t>
        </is>
      </c>
    </row>
    <row r="43">
      <c r="A43" t="inlineStr">
        <is>
          <t>COL-COUNT1</t>
        </is>
      </c>
    </row>
    <row r="44">
      <c r="A44" t="inlineStr">
        <is>
          <t>COL-COUNT2</t>
        </is>
      </c>
    </row>
    <row r="45">
      <c r="A45" t="inlineStr">
        <is>
          <t>COL-COUNT3</t>
        </is>
      </c>
    </row>
    <row r="46">
      <c r="A46" t="inlineStr">
        <is>
          <t>CON-001</t>
        </is>
      </c>
    </row>
    <row r="47">
      <c r="A47" t="inlineStr">
        <is>
          <t>CONTRADICTION-SECDEP</t>
        </is>
      </c>
    </row>
    <row r="48">
      <c r="A48" t="inlineStr">
        <is>
          <t>Coral_Gables_Distribution_Inc_v_Milich_992_So_2d_302_Fla_3d_DCA_2008</t>
        </is>
      </c>
    </row>
    <row r="49">
      <c r="A49" t="inlineStr">
        <is>
          <t>DIN-109</t>
        </is>
      </c>
    </row>
    <row r="50">
      <c r="A50" t="inlineStr">
        <is>
          <t>DIN-135</t>
        </is>
      </c>
    </row>
    <row r="51">
      <c r="A51" t="inlineStr">
        <is>
          <t>DIN-148</t>
        </is>
      </c>
    </row>
    <row r="52">
      <c r="A52" t="inlineStr">
        <is>
          <t>DIN-151</t>
        </is>
      </c>
    </row>
    <row r="53">
      <c r="A53" t="inlineStr">
        <is>
          <t>DIN-158</t>
        </is>
      </c>
    </row>
    <row r="54">
      <c r="A54" t="inlineStr">
        <is>
          <t>DIN-161</t>
        </is>
      </c>
    </row>
    <row r="55">
      <c r="A55" t="inlineStr">
        <is>
          <t>DIN-164</t>
        </is>
      </c>
    </row>
    <row r="56">
      <c r="A56" t="inlineStr">
        <is>
          <t>DIN-169</t>
        </is>
      </c>
    </row>
    <row r="57">
      <c r="A57" t="inlineStr">
        <is>
          <t>DIN-170</t>
        </is>
      </c>
    </row>
    <row r="58">
      <c r="A58" t="inlineStr">
        <is>
          <t>DIN-173</t>
        </is>
      </c>
    </row>
    <row r="59">
      <c r="A59" t="inlineStr">
        <is>
          <t>DIN-176</t>
        </is>
      </c>
    </row>
    <row r="60">
      <c r="A60" t="inlineStr">
        <is>
          <t>DIN-178</t>
        </is>
      </c>
    </row>
    <row r="61">
      <c r="A61" t="inlineStr">
        <is>
          <t>DIN-99</t>
        </is>
      </c>
    </row>
    <row r="62">
      <c r="A62" t="inlineStr">
        <is>
          <t>DOC-INITIAL-BRIEF</t>
        </is>
      </c>
    </row>
    <row r="63">
      <c r="A63" t="inlineStr">
        <is>
          <t>DOC-ROA-PDF</t>
        </is>
      </c>
    </row>
    <row r="64">
      <c r="A64" t="inlineStr">
        <is>
          <t>DOC-ROA-TXT</t>
        </is>
      </c>
    </row>
    <row r="65">
      <c r="A65" t="inlineStr">
        <is>
          <t>David_B_Haber</t>
        </is>
      </c>
    </row>
    <row r="66">
      <c r="A66" t="inlineStr">
        <is>
          <t>Def_Motion_Ex_11_Miami_Mold</t>
        </is>
      </c>
    </row>
    <row r="67">
      <c r="A67" t="inlineStr">
        <is>
          <t>E-CHW-01</t>
        </is>
      </c>
    </row>
    <row r="68">
      <c r="A68" t="inlineStr">
        <is>
          <t>E-LEASE-01</t>
        </is>
      </c>
    </row>
    <row r="69">
      <c r="A69" t="inlineStr">
        <is>
          <t>E-MOLD-01</t>
        </is>
      </c>
    </row>
    <row r="70">
      <c r="A70" t="inlineStr">
        <is>
          <t>E-MURANO-01</t>
        </is>
      </c>
    </row>
    <row r="71">
      <c r="A71" t="inlineStr">
        <is>
          <t>E-SEC-01</t>
        </is>
      </c>
    </row>
    <row r="72">
      <c r="A72" t="inlineStr">
        <is>
          <t>E-WASH-01</t>
        </is>
      </c>
    </row>
    <row r="73">
      <c r="A73" t="inlineStr">
        <is>
          <t>ELI_COHEN</t>
        </is>
      </c>
    </row>
    <row r="74">
      <c r="A74" t="inlineStr">
        <is>
          <t>FOF-1</t>
        </is>
      </c>
    </row>
    <row r="75">
      <c r="A75" t="inlineStr">
        <is>
          <t>FOF-13</t>
        </is>
      </c>
    </row>
    <row r="76">
      <c r="A76" t="inlineStr">
        <is>
          <t>FOF-14</t>
        </is>
      </c>
    </row>
    <row r="77">
      <c r="A77" t="inlineStr">
        <is>
          <t>FOF-16</t>
        </is>
      </c>
    </row>
    <row r="78">
      <c r="A78" t="inlineStr">
        <is>
          <t>FOF-17</t>
        </is>
      </c>
    </row>
    <row r="79">
      <c r="A79" t="inlineStr">
        <is>
          <t>FOF-18</t>
        </is>
      </c>
    </row>
    <row r="80">
      <c r="A80" t="inlineStr">
        <is>
          <t>FOF-19</t>
        </is>
      </c>
    </row>
    <row r="81">
      <c r="A81" t="inlineStr">
        <is>
          <t>FOF-2</t>
        </is>
      </c>
    </row>
    <row r="82">
      <c r="A82" t="inlineStr">
        <is>
          <t>FOF-3</t>
        </is>
      </c>
    </row>
    <row r="83">
      <c r="A83" t="inlineStr">
        <is>
          <t>Fla_R_Civ_P_1510</t>
        </is>
      </c>
    </row>
    <row r="84">
      <c r="A84" t="inlineStr">
        <is>
          <t>Fla_R_Jud_Admin_2330h</t>
        </is>
      </c>
    </row>
    <row r="85">
      <c r="A85" t="inlineStr">
        <is>
          <t>Fla_Stat_83493</t>
        </is>
      </c>
    </row>
    <row r="86">
      <c r="A86" t="inlineStr">
        <is>
          <t>HABER_LAW_LLP</t>
        </is>
      </c>
    </row>
    <row r="87">
      <c r="A87" t="inlineStr">
        <is>
          <t>HT-DRIMMER-PDF</t>
        </is>
      </c>
    </row>
    <row r="88">
      <c r="A88" t="inlineStr">
        <is>
          <t>HT-POLICE-REPORT</t>
        </is>
      </c>
    </row>
    <row r="89">
      <c r="A89" t="inlineStr">
        <is>
          <t>HT-VALCIN-PROP</t>
        </is>
      </c>
    </row>
    <row r="90">
      <c r="A90" t="inlineStr">
        <is>
          <t>Hearing_03_13_2025</t>
        </is>
      </c>
    </row>
    <row r="91">
      <c r="A91" t="inlineStr">
        <is>
          <t>Hearing_05_23_2024</t>
        </is>
      </c>
    </row>
    <row r="92">
      <c r="A92" t="inlineStr">
        <is>
          <t>Hearing_07_21_2025</t>
        </is>
      </c>
    </row>
    <row r="93">
      <c r="A93" t="inlineStr">
        <is>
          <t>I-DAMAGES</t>
        </is>
      </c>
    </row>
    <row r="94">
      <c r="A94" t="inlineStr">
        <is>
          <t>I-JURIS</t>
        </is>
      </c>
    </row>
    <row r="95">
      <c r="A95" t="inlineStr">
        <is>
          <t>I-MAINT</t>
        </is>
      </c>
    </row>
    <row r="96">
      <c r="A96" t="inlineStr">
        <is>
          <t>I-MISREP</t>
        </is>
      </c>
    </row>
    <row r="97">
      <c r="A97" t="inlineStr">
        <is>
          <t>I-SECDEP</t>
        </is>
      </c>
    </row>
    <row r="98">
      <c r="A98" t="inlineStr">
        <is>
          <t>I-SPOLIATION</t>
        </is>
      </c>
    </row>
    <row r="99">
      <c r="A99" t="inlineStr">
        <is>
          <t>I-SUMMARY</t>
        </is>
      </c>
    </row>
    <row r="100">
      <c r="A100" t="inlineStr">
        <is>
          <t>JEFF_ATLAS</t>
        </is>
      </c>
    </row>
    <row r="101">
      <c r="A101" t="inlineStr">
        <is>
          <t>Judge_Del_Rio</t>
        </is>
      </c>
    </row>
    <row r="102">
      <c r="A102" t="inlineStr">
        <is>
          <t>Judge_Reemberto_Diaz</t>
        </is>
      </c>
    </row>
    <row r="103">
      <c r="A103" t="inlineStr">
        <is>
          <t>Judge_Ruiz</t>
        </is>
      </c>
    </row>
    <row r="104">
      <c r="A104" t="inlineStr">
        <is>
          <t>Manufacturer_Warranty</t>
        </is>
      </c>
    </row>
    <row r="105">
      <c r="A105" t="inlineStr">
        <is>
          <t>Martinez_v_Rds_Point_Townhomes_Inc_393_So_3d_755_Fla_3d_DCA_2024</t>
        </is>
      </c>
    </row>
    <row r="106">
      <c r="A106" t="inlineStr">
        <is>
          <t>Mediation_11_01_2021</t>
        </is>
      </c>
    </row>
    <row r="107">
      <c r="A107" t="inlineStr">
        <is>
          <t>ORDER-1</t>
        </is>
      </c>
    </row>
    <row r="108">
      <c r="A108" t="inlineStr">
        <is>
          <t>ORDER-2</t>
        </is>
      </c>
    </row>
    <row r="109">
      <c r="A109" t="inlineStr">
        <is>
          <t>ORDER-3</t>
        </is>
      </c>
    </row>
    <row r="110">
      <c r="A110" t="inlineStr">
        <is>
          <t>ORDER-4</t>
        </is>
      </c>
    </row>
    <row r="111">
      <c r="A111" t="inlineStr">
        <is>
          <t>PTY-ELI-COHEN</t>
        </is>
      </c>
    </row>
    <row r="112">
      <c r="A112" t="inlineStr">
        <is>
          <t>PTY-JEFF-ATLAS</t>
        </is>
      </c>
    </row>
    <row r="113">
      <c r="A113" t="inlineStr">
        <is>
          <t>PTY-SUSAN-ATLAS</t>
        </is>
      </c>
    </row>
    <row r="114">
      <c r="A114" t="inlineStr">
        <is>
          <t>Peoples_Trust_Ins_Co_v_Valentin_305_So_3d_324_Fla_3d_DCA_2020</t>
        </is>
      </c>
    </row>
    <row r="115">
      <c r="A115" t="inlineStr">
        <is>
          <t>Police_Report_2019-00042552</t>
        </is>
      </c>
    </row>
    <row r="116">
      <c r="A116" t="inlineStr">
        <is>
          <t>Public_Health_Trust_v_Valcin</t>
        </is>
      </c>
    </row>
    <row r="117">
      <c r="A117" t="inlineStr">
        <is>
          <t>Public_Health_Trust_v_Valcin_507_So_2d_596_Fla_1987</t>
        </is>
      </c>
    </row>
    <row r="118">
      <c r="A118" t="inlineStr">
        <is>
          <t>REPLY-A1</t>
        </is>
      </c>
    </row>
    <row r="119">
      <c r="A119" t="inlineStr">
        <is>
          <t>REPLY-A10</t>
        </is>
      </c>
    </row>
    <row r="120">
      <c r="A120" t="inlineStr">
        <is>
          <t>REPLY-A11</t>
        </is>
      </c>
    </row>
    <row r="121">
      <c r="A121" t="inlineStr">
        <is>
          <t>REPLY-A12</t>
        </is>
      </c>
    </row>
    <row r="122">
      <c r="A122" t="inlineStr">
        <is>
          <t>REPLY-A2</t>
        </is>
      </c>
    </row>
    <row r="123">
      <c r="A123" t="inlineStr">
        <is>
          <t>REPLY-A3</t>
        </is>
      </c>
    </row>
    <row r="124">
      <c r="A124" t="inlineStr">
        <is>
          <t>REPLY-A4</t>
        </is>
      </c>
    </row>
    <row r="125">
      <c r="A125" t="inlineStr">
        <is>
          <t>REPLY-A5</t>
        </is>
      </c>
    </row>
    <row r="126">
      <c r="A126" t="inlineStr">
        <is>
          <t>REPLY-A6</t>
        </is>
      </c>
    </row>
    <row r="127">
      <c r="A127" t="inlineStr">
        <is>
          <t>REPLY-A7</t>
        </is>
      </c>
    </row>
    <row r="128">
      <c r="A128" t="inlineStr">
        <is>
          <t>REPLY-A8</t>
        </is>
      </c>
    </row>
    <row r="129">
      <c r="A129" t="inlineStr">
        <is>
          <t>REPLY-A9</t>
        </is>
      </c>
    </row>
    <row r="130">
      <c r="A130" t="inlineStr">
        <is>
          <t>ROA-TXT-1336</t>
        </is>
      </c>
    </row>
    <row r="131">
      <c r="A131" t="inlineStr">
        <is>
          <t>ROA-TXT-16626</t>
        </is>
      </c>
    </row>
    <row r="132">
      <c r="A132" t="inlineStr">
        <is>
          <t>ROA-TXT-17966</t>
        </is>
      </c>
    </row>
    <row r="133">
      <c r="A133" t="inlineStr">
        <is>
          <t>ROA-TXT-18011</t>
        </is>
      </c>
    </row>
    <row r="134">
      <c r="A134" t="inlineStr">
        <is>
          <t>ROA-TXT-18017</t>
        </is>
      </c>
    </row>
    <row r="135">
      <c r="A135" t="inlineStr">
        <is>
          <t>ROA-TXT-5960</t>
        </is>
      </c>
    </row>
    <row r="136">
      <c r="A136" t="inlineStr">
        <is>
          <t>ROA-TXT-5962</t>
        </is>
      </c>
    </row>
    <row r="137">
      <c r="A137" t="inlineStr">
        <is>
          <t>SUSAN_ATLAS</t>
        </is>
      </c>
    </row>
    <row r="138">
      <c r="A138" t="inlineStr">
        <is>
          <t>Simone_M_Honeygan</t>
        </is>
      </c>
    </row>
    <row r="139">
      <c r="A139" t="inlineStr">
        <is>
          <t>Thomas_Butler</t>
        </is>
      </c>
    </row>
    <row r="140">
      <c r="A140" t="inlineStr">
        <is>
          <t>Wootton_v_Iron_Acquisitions_LLC_338_So_3d_425_Fla_2d_DCA_2022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20" customWidth="1" min="1" max="1"/>
  </cols>
  <sheetData>
    <row r="1" ht="18" customHeight="1">
      <c r="A1" s="1" t="inlineStr">
        <is>
          <t>CUARC Entity Map / Matrix for Cohen v. Atlas</t>
        </is>
      </c>
    </row>
    <row r="2" ht="18" customHeight="1"/>
    <row r="3" ht="18" customHeight="1">
      <c r="A3" s="2" t="inlineStr">
        <is>
          <t>Purpose</t>
        </is>
      </c>
    </row>
    <row r="4" ht="18" customHeight="1">
      <c r="A4" s="3" t="inlineStr">
        <is>
          <t>This workbook is a structured entity database to normalize record fragments, authorities, claims, and issue-level arguments. It is designed to reduce clutter when pulling from other projects by forcing each imported statement into typed, citable objects (CUARC).</t>
        </is>
      </c>
    </row>
    <row r="5" ht="18" customHeight="1"/>
    <row r="6" ht="18" customHeight="1">
      <c r="A6" s="2" t="inlineStr">
        <is>
          <t>Core objects</t>
        </is>
      </c>
    </row>
    <row r="7" ht="18" customHeight="1">
      <c r="A7" t="inlineStr">
        <is>
          <t>RECORD_ITEMS: quote-ready snippets with precise locations and tags.</t>
        </is>
      </c>
    </row>
    <row r="8" ht="18" customHeight="1">
      <c r="A8" t="inlineStr">
        <is>
          <t>AUTHORITIES: the master authority table (schema provided by user).</t>
        </is>
      </c>
    </row>
    <row r="9" ht="18" customHeight="1">
      <c r="A9" t="inlineStr">
        <is>
          <t>CLAIMS: typed propositions (T1–T5) linked to record items and authorities.</t>
        </is>
      </c>
    </row>
    <row r="10" ht="18" customHeight="1">
      <c r="A10" t="inlineStr">
        <is>
          <t>ISSUES: appellate issue buckets + risk and remedy target.</t>
        </is>
      </c>
    </row>
    <row r="11" ht="18" customHeight="1">
      <c r="A11" t="inlineStr">
        <is>
          <t>CONTRADICTIONS: explicit conflicts to exploit or reconcile.</t>
        </is>
      </c>
    </row>
    <row r="12" ht="18" customHeight="1">
      <c r="A12" t="inlineStr">
        <is>
          <t>TASKS: missing items to ingest / verify.</t>
        </is>
      </c>
    </row>
    <row r="13" ht="18" customHeight="1"/>
    <row r="14" ht="18" customHeight="1">
      <c r="A14" s="2" t="inlineStr">
        <is>
          <t>CUARC typing</t>
        </is>
      </c>
    </row>
    <row r="15" ht="18" customHeight="1">
      <c r="A15" s="3" t="inlineStr">
        <is>
          <t>T1 fact → RecordItems; T2 rule → Authorities; T3 label → Record+Authority; T4 inference → Record+Authority; T5 remedy → Authority+predicate Record.</t>
        </is>
      </c>
    </row>
    <row r="16" ht="18" customHeight="1"/>
    <row r="17" ht="18" customHeight="1">
      <c r="A17" s="2" t="inlineStr">
        <is>
          <t>Data hygiene</t>
        </is>
      </c>
    </row>
    <row r="18" ht="18" customHeight="1">
      <c r="A18" s="3" t="inlineStr">
        <is>
          <t>If a statement originates from a motion/brief, tag Doc_Type accordingly and describe it as an assertion unless the underlying exhibit is ingested.</t>
        </is>
      </c>
    </row>
    <row r="19" ht="18" customHeight="1"/>
    <row r="20" ht="18" customHeight="1">
      <c r="A20" s="2" t="inlineStr">
        <is>
          <t>Update (CUARC+): Verbatim vs Summary, Evidence Reference demotion, and Edges.</t>
        </is>
      </c>
    </row>
    <row r="21" ht="18" customHeight="1">
      <c r="A21" s="3" t="inlineStr">
        <is>
          <t>RECORD_ITEMS: Evidence_Quote_Verbatim + Evidence_Summary + Quote_WC + Quote_Verified + Source_Layer + Evidence_Class + Requires_Ingestion.</t>
        </is>
      </c>
    </row>
    <row r="22" ht="18" customHeight="1">
      <c r="A22" s="3" t="inlineStr">
        <is>
          <t>AUTHORITIES: Citation_Verified + Holding_Text_Verified + Holding_Text_Source + Citation_Source_Location.</t>
        </is>
      </c>
    </row>
    <row r="23" ht="18" customHeight="1">
      <c r="A23" s="3" t="inlineStr">
        <is>
          <t>New tabs: ENTITIES (canonical index) and EDGES (graph edges).</t>
        </is>
      </c>
    </row>
    <row r="24" ht="18" customHeight="1"/>
    <row r="25">
      <c r="A25" s="2" t="inlineStr">
        <is>
          <t>Enhancement v8: EDGE_BUILDER + GATES</t>
        </is>
      </c>
    </row>
    <row r="26">
      <c r="A26" s="3" t="inlineStr">
        <is>
          <t>EDGE_BUILDER: pick From/To/Relation/Layer + RecordItem; workbook auto-pulls verbatim quote + WC + compliance.</t>
        </is>
      </c>
    </row>
    <row r="27">
      <c r="A27" s="3" t="inlineStr">
        <is>
          <t>GATES: binary health checks (quote compliance %, ingestion backlog, holding-text verification, open contradictions).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s>
  <sheetData>
    <row r="1">
      <c r="A1" s="4" t="inlineStr">
        <is>
          <t>Doc_ID</t>
        </is>
      </c>
      <c r="B1" s="4" t="inlineStr">
        <is>
          <t>Filename</t>
        </is>
      </c>
      <c r="C1" s="4" t="inlineStr">
        <is>
          <t>Path</t>
        </is>
      </c>
      <c r="D1" s="4" t="inlineStr">
        <is>
          <t>Type</t>
        </is>
      </c>
      <c r="E1" s="4" t="inlineStr">
        <is>
          <t>Date_Added</t>
        </is>
      </c>
      <c r="F1" s="4" t="inlineStr">
        <is>
          <t>Notes</t>
        </is>
      </c>
    </row>
    <row r="2">
      <c r="A2" s="3" t="inlineStr">
        <is>
          <t>DOC-ROA-PDF</t>
        </is>
      </c>
      <c r="B2" s="3" t="inlineStr">
        <is>
          <t>Record - Record on Appeal.pdf</t>
        </is>
      </c>
      <c r="C2" s="3" t="inlineStr">
        <is>
          <t>/mnt/data/Record - Record on Appeal.pdf</t>
        </is>
      </c>
      <c r="D2" s="3" t="inlineStr">
        <is>
          <t>Record on Appeal</t>
        </is>
      </c>
      <c r="E2" s="3" t="inlineStr">
        <is>
          <t>2025-12-27</t>
        </is>
      </c>
      <c r="F2" s="3" t="inlineStr"/>
    </row>
    <row r="3">
      <c r="A3" s="3" t="inlineStr">
        <is>
          <t>DOC-ROA-TXT</t>
        </is>
      </c>
      <c r="B3" s="3" t="inlineStr">
        <is>
          <t>Record - Record on Appeal.txt</t>
        </is>
      </c>
      <c r="C3" s="3" t="inlineStr">
        <is>
          <t>/mnt/data/Record - Record on Appeal.txt</t>
        </is>
      </c>
      <c r="D3" s="3" t="inlineStr">
        <is>
          <t>Record on Appeal (text)</t>
        </is>
      </c>
      <c r="E3" s="3" t="inlineStr">
        <is>
          <t>2025-12-27</t>
        </is>
      </c>
      <c r="F3" s="3" t="inlineStr"/>
    </row>
    <row r="4">
      <c r="A4" s="3" t="inlineStr">
        <is>
          <t>DOC-INITIAL-BRIEF</t>
        </is>
      </c>
      <c r="B4" s="3" t="inlineStr">
        <is>
          <t>COHEN_INITIAL_BRIEF_AESTHETIC_FINAL.pdf</t>
        </is>
      </c>
      <c r="C4" s="3" t="inlineStr">
        <is>
          <t>/mnt/data/COHEN_INITIAL_BRIEF_AESTHETIC_FINAL.pdf</t>
        </is>
      </c>
      <c r="D4" s="3" t="inlineStr">
        <is>
          <t>Brief</t>
        </is>
      </c>
      <c r="E4" s="3" t="inlineStr">
        <is>
          <t>2025-12-27</t>
        </is>
      </c>
      <c r="F4" s="3" t="inlineStr"/>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P3"/>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60" customWidth="1" min="3" max="3"/>
    <col width="12" customWidth="1" min="4" max="4"/>
    <col width="14" customWidth="1" min="5" max="5"/>
    <col width="15" customWidth="1" min="6" max="6"/>
    <col width="16" customWidth="1" min="7" max="7"/>
    <col width="50" customWidth="1" min="8" max="8"/>
    <col width="22" customWidth="1" min="9" max="9"/>
    <col width="16" customWidth="1" min="10" max="10"/>
    <col width="22" customWidth="1" min="11" max="11"/>
    <col width="60" customWidth="1" min="12" max="12"/>
    <col width="22" customWidth="1" min="13" max="13"/>
    <col width="23" customWidth="1" min="14" max="14"/>
    <col width="21" customWidth="1" min="15" max="15"/>
    <col width="26" customWidth="1" min="16" max="16"/>
  </cols>
  <sheetData>
    <row r="1">
      <c r="A1" s="4" t="inlineStr">
        <is>
          <t>AUTH_ID</t>
        </is>
      </c>
      <c r="B1" s="4" t="inlineStr">
        <is>
          <t>Type</t>
        </is>
      </c>
      <c r="C1" s="4" t="inlineStr">
        <is>
          <t>Citation</t>
        </is>
      </c>
      <c r="D1" s="4" t="inlineStr">
        <is>
          <t>Short_Cite</t>
        </is>
      </c>
      <c r="E1" s="4" t="inlineStr">
        <is>
          <t>Jurisdiction</t>
        </is>
      </c>
      <c r="F1" s="4" t="inlineStr">
        <is>
          <t>Court_Level</t>
        </is>
      </c>
      <c r="G1" s="4" t="inlineStr">
        <is>
          <t>Binding_Weight</t>
        </is>
      </c>
      <c r="H1" s="4" t="inlineStr">
        <is>
          <t>Proposition</t>
        </is>
      </c>
      <c r="I1" s="4" t="inlineStr">
        <is>
          <t>Stance_For_Appellant</t>
        </is>
      </c>
      <c r="J1" s="4" t="inlineStr">
        <is>
          <t>Linked_Issues</t>
        </is>
      </c>
      <c r="K1" s="4" t="inlineStr">
        <is>
          <t>Verified</t>
        </is>
      </c>
      <c r="L1" s="4" t="inlineStr">
        <is>
          <t>Notes</t>
        </is>
      </c>
      <c r="M1" s="4" t="inlineStr">
        <is>
          <t>Citation_Verified</t>
        </is>
      </c>
      <c r="N1" s="4" t="inlineStr">
        <is>
          <t>Holding_Text_Verified</t>
        </is>
      </c>
      <c r="O1" s="4" t="inlineStr">
        <is>
          <t>Holding_Text_Source</t>
        </is>
      </c>
      <c r="P1" s="4" t="inlineStr">
        <is>
          <t>Citation_Source_Location</t>
        </is>
      </c>
    </row>
    <row r="2">
      <c r="A2" s="3" t="inlineStr">
        <is>
          <t>AUTH-FL-VALCIN</t>
        </is>
      </c>
      <c r="B2" s="3" t="inlineStr">
        <is>
          <t>Case</t>
        </is>
      </c>
      <c r="C2" s="3" t="inlineStr">
        <is>
          <t>Public Health Trust v. Valcin, 507 So. 2d 596 (Fla. 1987)</t>
        </is>
      </c>
      <c r="D2" s="3" t="inlineStr">
        <is>
          <t>Valcin</t>
        </is>
      </c>
      <c r="E2" s="3" t="inlineStr">
        <is>
          <t>Florida</t>
        </is>
      </c>
      <c r="F2" s="3" t="inlineStr">
        <is>
          <t>Supreme_Court</t>
        </is>
      </c>
      <c r="G2" s="3" t="n">
        <v>1</v>
      </c>
      <c r="H2" s="3" t="inlineStr">
        <is>
          <t>[PROPOSITION_PENDING]</t>
        </is>
      </c>
      <c r="I2" s="3" t="n">
        <v>0.9</v>
      </c>
      <c r="J2" s="3" t="inlineStr">
        <is>
          <t>I-SPOLIATION</t>
        </is>
      </c>
      <c r="K2" s="3" t="inlineStr">
        <is>
          <t>RECORD</t>
        </is>
      </c>
      <c r="L2" s="3" t="inlineStr">
        <is>
          <t>ROA cites Valcin; holding text requires approved source.</t>
        </is>
      </c>
      <c r="M2" s="3" t="inlineStr">
        <is>
          <t>RECORD</t>
        </is>
      </c>
      <c r="N2" s="3" t="inlineStr">
        <is>
          <t>NO</t>
        </is>
      </c>
      <c r="O2" s="3" t="inlineStr"/>
      <c r="P2" s="3" t="inlineStr"/>
    </row>
    <row r="3">
      <c r="A3" s="3" t="inlineStr">
        <is>
          <t>AUTH-FL-RULE-1510</t>
        </is>
      </c>
      <c r="B3" s="3" t="inlineStr">
        <is>
          <t>Rule</t>
        </is>
      </c>
      <c r="C3" s="3" t="inlineStr">
        <is>
          <t>Fla. R. Civ. P. 1.510 (Summary Judgment) (as adopted/updated)</t>
        </is>
      </c>
      <c r="D3" s="3" t="inlineStr">
        <is>
          <t>Rule 1.510</t>
        </is>
      </c>
      <c r="E3" s="3" t="inlineStr">
        <is>
          <t>Florida</t>
        </is>
      </c>
      <c r="F3" s="3" t="inlineStr">
        <is>
          <t>Rule</t>
        </is>
      </c>
      <c r="G3" s="3" t="n">
        <v>1</v>
      </c>
      <c r="H3" s="3" t="inlineStr">
        <is>
          <t>SJ requires no genuine dispute of material fact.</t>
        </is>
      </c>
      <c r="I3" s="3" t="n">
        <v>0.5</v>
      </c>
      <c r="J3" s="3" t="inlineStr">
        <is>
          <t>I-DAMAGES;I-SJ</t>
        </is>
      </c>
      <c r="K3" s="3" t="inlineStr">
        <is>
          <t>UNVERIFIED_AUTHORITY</t>
        </is>
      </c>
      <c r="L3" s="3" t="inlineStr">
        <is>
          <t>Add approved rule text excerpt to authority table for court-ready quoting.</t>
        </is>
      </c>
      <c r="M3" s="3" t="inlineStr">
        <is>
          <t>UNVERIFIED_AUTHORITY</t>
        </is>
      </c>
      <c r="N3" s="3" t="inlineStr">
        <is>
          <t>NO</t>
        </is>
      </c>
      <c r="O3" s="3" t="inlineStr"/>
      <c r="P3" s="3" t="inlineStr"/>
    </row>
  </sheetData>
  <dataValidations count="2">
    <dataValidation sqref="M2:M3" showDropDown="0" showInputMessage="0" showErrorMessage="0" allowBlank="1" type="list">
      <formula1>"RECORD,TABLE,UNVERIFIED_AUTHORITY,UNREVIEWED"</formula1>
    </dataValidation>
    <dataValidation sqref="N2:N3" showDropDown="0" showInputMessage="0" showErrorMessage="0" allowBlank="1" type="list">
      <formula1>"YES,NO"</formula1>
    </dataValidation>
  </dataValidation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T8"/>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25" customWidth="1" min="4" max="4"/>
    <col width="60" customWidth="1" min="5" max="5"/>
    <col width="60" customWidth="1" min="6" max="6"/>
    <col width="57" customWidth="1" min="7" max="7"/>
    <col width="28" customWidth="1" min="8" max="8"/>
    <col width="36" customWidth="1" min="9" max="9"/>
    <col width="35" customWidth="1" min="10" max="10"/>
    <col width="12" customWidth="1" min="11" max="11"/>
    <col width="60" customWidth="1" min="12" max="12"/>
    <col width="18" customWidth="1" min="13" max="13"/>
    <col width="12" customWidth="1" min="14" max="14"/>
    <col width="16" customWidth="1" min="15" max="15"/>
    <col width="18" customWidth="1" min="16" max="16"/>
    <col width="27" customWidth="1" min="17" max="17"/>
    <col width="20" customWidth="1" min="18" max="18"/>
    <col width="20" customWidth="1" min="19" max="19"/>
    <col width="21" customWidth="1" min="20" max="20"/>
  </cols>
  <sheetData>
    <row r="1">
      <c r="A1" s="4" t="inlineStr">
        <is>
          <t>RecordItem_ID</t>
        </is>
      </c>
      <c r="B1" s="4" t="inlineStr">
        <is>
          <t>Source_Doc_ID</t>
        </is>
      </c>
      <c r="C1" s="4" t="inlineStr">
        <is>
          <t>Location</t>
        </is>
      </c>
      <c r="D1" s="4" t="inlineStr">
        <is>
          <t>Doc_Type</t>
        </is>
      </c>
      <c r="E1" s="4" t="inlineStr">
        <is>
          <t>Description</t>
        </is>
      </c>
      <c r="F1" s="4" t="inlineStr">
        <is>
          <t>Evidence_Quote_Verbatim</t>
        </is>
      </c>
      <c r="G1" s="4" t="inlineStr">
        <is>
          <t>Tags</t>
        </is>
      </c>
      <c r="H1" s="4" t="inlineStr">
        <is>
          <t>Party</t>
        </is>
      </c>
      <c r="I1" s="4" t="inlineStr">
        <is>
          <t>Date</t>
        </is>
      </c>
      <c r="J1" s="4" t="inlineStr">
        <is>
          <t>CUARC_Type</t>
        </is>
      </c>
      <c r="K1" s="4" t="inlineStr">
        <is>
          <t>Confidence</t>
        </is>
      </c>
      <c r="L1" s="4" t="inlineStr">
        <is>
          <t>Notes</t>
        </is>
      </c>
      <c r="M1" s="4" t="inlineStr">
        <is>
          <t>Evidence_Summary</t>
        </is>
      </c>
      <c r="N1" s="4" t="inlineStr">
        <is>
          <t>Quote_WC</t>
        </is>
      </c>
      <c r="O1" s="4" t="inlineStr">
        <is>
          <t>Quote_Verified</t>
        </is>
      </c>
      <c r="P1" s="4" t="inlineStr">
        <is>
          <t>Source_Layer</t>
        </is>
      </c>
      <c r="Q1" s="4" t="inlineStr">
        <is>
          <t>Source_Location</t>
        </is>
      </c>
      <c r="R1" s="4" t="inlineStr">
        <is>
          <t>Evidence_Class</t>
        </is>
      </c>
      <c r="S1" s="4" t="inlineStr">
        <is>
          <t>Requires_Ingestion</t>
        </is>
      </c>
      <c r="T1" s="4" t="inlineStr">
        <is>
          <t>Canonical_Entity_ID</t>
        </is>
      </c>
    </row>
    <row r="2">
      <c r="A2" s="3" t="inlineStr">
        <is>
          <t>ROA-TXT-5960</t>
        </is>
      </c>
      <c r="B2" s="3" t="inlineStr">
        <is>
          <t>DOC-ROA-TXT</t>
        </is>
      </c>
      <c r="C2" s="3" t="inlineStr">
        <is>
          <t>L5960</t>
        </is>
      </c>
      <c r="D2" s="3" t="inlineStr">
        <is>
          <t>Exhibit/Notice</t>
        </is>
      </c>
      <c r="E2" s="3" t="inlineStr">
        <is>
          <t>Security deposit notice title line</t>
        </is>
      </c>
      <c r="F2" s="3" t="inlineStr">
        <is>
          <t>NOTICE OF INTENTION TO IMPOSE CLAIM ON SECURITY DEPOSIT</t>
        </is>
      </c>
      <c r="G2" s="3" t="inlineStr">
        <is>
          <t>83.49;security deposit;notice</t>
        </is>
      </c>
      <c r="H2" s="3" t="inlineStr">
        <is>
          <t>Unknown</t>
        </is>
      </c>
      <c r="I2" s="3" t="inlineStr">
        <is>
          <t>2018-01-06 (see L5962)</t>
        </is>
      </c>
      <c r="J2" s="3" t="inlineStr">
        <is>
          <t>T1</t>
        </is>
      </c>
      <c r="K2" s="3" t="inlineStr">
        <is>
          <t>High</t>
        </is>
      </c>
      <c r="L2" s="3" t="inlineStr">
        <is>
          <t>Title indicates written notice exists.</t>
        </is>
      </c>
      <c r="M2" s="3" t="inlineStr"/>
      <c r="N2" s="3" t="n">
        <v>9</v>
      </c>
      <c r="O2" s="3" t="inlineStr">
        <is>
          <t>UNREVIEWED</t>
        </is>
      </c>
      <c r="P2" s="3" t="inlineStr">
        <is>
          <t>EVIDENCE_ITEM</t>
        </is>
      </c>
      <c r="Q2" s="3" t="inlineStr">
        <is>
          <t>DOC-ROA-TXT@L5960</t>
        </is>
      </c>
      <c r="R2" s="3" t="inlineStr">
        <is>
          <t>Evidence_Item</t>
        </is>
      </c>
      <c r="S2" s="3" t="inlineStr">
        <is>
          <t>NO</t>
        </is>
      </c>
      <c r="T2" s="3" t="inlineStr"/>
    </row>
    <row r="3">
      <c r="A3" s="3" t="inlineStr">
        <is>
          <t>ROA-TXT-5962</t>
        </is>
      </c>
      <c r="B3" s="3" t="inlineStr">
        <is>
          <t>DOC-ROA-TXT</t>
        </is>
      </c>
      <c r="C3" s="3" t="inlineStr">
        <is>
          <t>L5962</t>
        </is>
      </c>
      <c r="D3" s="3" t="inlineStr">
        <is>
          <t>Exhibit/Notice</t>
        </is>
      </c>
      <c r="E3" s="3" t="inlineStr">
        <is>
          <t>Security deposit notice date line</t>
        </is>
      </c>
      <c r="F3" s="3" t="inlineStr">
        <is>
          <t>DATE: January 6th, 2018</t>
        </is>
      </c>
      <c r="G3" s="3" t="inlineStr">
        <is>
          <t>83.49;security deposit;notice;date</t>
        </is>
      </c>
      <c r="H3" s="3" t="inlineStr">
        <is>
          <t>Unknown</t>
        </is>
      </c>
      <c r="I3" s="3" t="inlineStr">
        <is>
          <t>2018-01-06</t>
        </is>
      </c>
      <c r="J3" s="3" t="inlineStr">
        <is>
          <t>T1</t>
        </is>
      </c>
      <c r="K3" s="3" t="inlineStr">
        <is>
          <t>High</t>
        </is>
      </c>
      <c r="L3" s="3" t="inlineStr">
        <is>
          <t>Use to contradict 'no written notice' assertion.</t>
        </is>
      </c>
      <c r="M3" s="3" t="inlineStr"/>
      <c r="N3" s="3" t="n">
        <v>4</v>
      </c>
      <c r="O3" s="3" t="inlineStr">
        <is>
          <t>UNREVIEWED</t>
        </is>
      </c>
      <c r="P3" s="3" t="inlineStr">
        <is>
          <t>EVIDENCE_ITEM</t>
        </is>
      </c>
      <c r="Q3" s="3" t="inlineStr">
        <is>
          <t>DOC-ROA-TXT@L5962</t>
        </is>
      </c>
      <c r="R3" s="3" t="inlineStr">
        <is>
          <t>Evidence_Item</t>
        </is>
      </c>
      <c r="S3" s="3" t="inlineStr">
        <is>
          <t>NO</t>
        </is>
      </c>
      <c r="T3" s="3" t="inlineStr"/>
    </row>
    <row r="4">
      <c r="A4" s="3" t="inlineStr">
        <is>
          <t>ROA-TXT-1336</t>
        </is>
      </c>
      <c r="B4" s="3" t="inlineStr">
        <is>
          <t>DOC-ROA-TXT</t>
        </is>
      </c>
      <c r="C4" s="3" t="inlineStr">
        <is>
          <t>L1336</t>
        </is>
      </c>
      <c r="D4" s="3" t="inlineStr">
        <is>
          <t>Exhibit/Estimate</t>
        </is>
      </c>
      <c r="E4" s="3" t="inlineStr">
        <is>
          <t>Drimmer estimate label line</t>
        </is>
      </c>
      <c r="F4" s="3" t="inlineStr">
        <is>
          <t>ESTIMATE</t>
        </is>
      </c>
      <c r="G4" s="3" t="inlineStr">
        <is>
          <t>damages;washer dryer;estimate</t>
        </is>
      </c>
      <c r="H4" s="3" t="inlineStr">
        <is>
          <t>Unknown</t>
        </is>
      </c>
      <c r="I4" s="3" t="inlineStr"/>
      <c r="J4" s="3" t="inlineStr">
        <is>
          <t>T1</t>
        </is>
      </c>
      <c r="K4" s="3" t="inlineStr">
        <is>
          <t>Medium</t>
        </is>
      </c>
      <c r="L4" s="3" t="inlineStr">
        <is>
          <t>Locate full Drimmer exhibit in PDF for cleaner quote.</t>
        </is>
      </c>
      <c r="M4" s="3" t="inlineStr"/>
      <c r="N4" s="3" t="n">
        <v>1</v>
      </c>
      <c r="O4" s="3" t="inlineStr">
        <is>
          <t>UNREVIEWED</t>
        </is>
      </c>
      <c r="P4" s="3" t="inlineStr">
        <is>
          <t>EVIDENCE_ITEM</t>
        </is>
      </c>
      <c r="Q4" s="3" t="inlineStr">
        <is>
          <t>DOC-ROA-TXT@L1336</t>
        </is>
      </c>
      <c r="R4" s="3" t="inlineStr">
        <is>
          <t>Evidence_Item</t>
        </is>
      </c>
      <c r="S4" s="3" t="inlineStr">
        <is>
          <t>NO</t>
        </is>
      </c>
      <c r="T4" s="3" t="inlineStr"/>
    </row>
    <row r="5">
      <c r="A5" s="3" t="inlineStr">
        <is>
          <t>ROA-TXT-17966</t>
        </is>
      </c>
      <c r="B5" s="3" t="inlineStr">
        <is>
          <t>DOC-ROA-TXT</t>
        </is>
      </c>
      <c r="C5" s="3" t="inlineStr">
        <is>
          <t>L17966-L17968</t>
        </is>
      </c>
      <c r="D5" s="3" t="inlineStr">
        <is>
          <t>Exhibit/Invoice/Payment</t>
        </is>
      </c>
      <c r="E5" s="3" t="inlineStr">
        <is>
          <t>Miami Mold payment detail lines (amount/method/invoice)</t>
        </is>
      </c>
      <c r="F5" s="3" t="inlineStr">
        <is>
          <t>pt for Payment Amount: $6,500,00 | f nns;ic1ion rmte: 01i2'1!201 a Mc1hod oi payncnt: Ca.sh | Payricnl ol Invoice #80623</t>
        </is>
      </c>
      <c r="G5" s="3" t="inlineStr">
        <is>
          <t>damages;remediation;payment;Miami Mold;invoice 80623</t>
        </is>
      </c>
      <c r="H5" s="3" t="inlineStr">
        <is>
          <t>Eli Cohen</t>
        </is>
      </c>
      <c r="I5" s="3" t="inlineStr">
        <is>
          <t>2018-01-21? (see transaction line)</t>
        </is>
      </c>
      <c r="J5" s="3" t="inlineStr">
        <is>
          <t>T1</t>
        </is>
      </c>
      <c r="K5" s="3" t="inlineStr">
        <is>
          <t>Medium</t>
        </is>
      </c>
      <c r="L5" s="3" t="inlineStr">
        <is>
          <t>Shows Payment Amount and method 'Cash' + Invoice #80623 (OCR garble).</t>
        </is>
      </c>
      <c r="M5" s="3" t="inlineStr"/>
      <c r="N5" s="3" t="n">
        <v>20</v>
      </c>
      <c r="O5" s="3" t="inlineStr">
        <is>
          <t>UNREVIEWED</t>
        </is>
      </c>
      <c r="P5" s="3" t="inlineStr">
        <is>
          <t>EVIDENCE_ITEM</t>
        </is>
      </c>
      <c r="Q5" s="3" t="inlineStr">
        <is>
          <t>DOC-ROA-TXT@L17966-L17968</t>
        </is>
      </c>
      <c r="R5" s="3" t="inlineStr">
        <is>
          <t>Evidence_Item</t>
        </is>
      </c>
      <c r="S5" s="3" t="inlineStr">
        <is>
          <t>NO</t>
        </is>
      </c>
      <c r="T5" s="3" t="inlineStr"/>
    </row>
    <row r="6">
      <c r="A6" s="3" t="inlineStr">
        <is>
          <t>ROA-TXT-16626</t>
        </is>
      </c>
      <c r="B6" s="3" t="inlineStr">
        <is>
          <t>DOC-ROA-TXT</t>
        </is>
      </c>
      <c r="C6" s="3" t="inlineStr">
        <is>
          <t>L16626</t>
        </is>
      </c>
      <c r="D6" s="3" t="inlineStr">
        <is>
          <t>Exhibit/Letter</t>
        </is>
      </c>
      <c r="E6" s="3" t="inlineStr">
        <is>
          <t>Miami Mold June 3, 2019 letter re: proof of payment</t>
        </is>
      </c>
      <c r="F6" s="3" t="inlineStr">
        <is>
          <t>~o proof of payment exists of the S6.500.UO cash paymentthat Eli Cohen made tu Miami \fold LLC for mold remediation pcrfoHrn:d at his apartmc:nt located at: 1000 South Pointe Drive. Unit TI-f-/\5, Miami Beach, Fl, 33139 other than invoice #</t>
        </is>
      </c>
      <c r="G6" s="3" t="inlineStr">
        <is>
          <t>damages;remediation;payment dispute;Miami Mold</t>
        </is>
      </c>
      <c r="H6" s="3" t="inlineStr">
        <is>
          <t>Miami Mold Specialist, LLC</t>
        </is>
      </c>
      <c r="I6" s="3" t="inlineStr">
        <is>
          <t>2019-06-03</t>
        </is>
      </c>
      <c r="J6" s="3" t="inlineStr">
        <is>
          <t>T1</t>
        </is>
      </c>
      <c r="K6" s="3" t="inlineStr">
        <is>
          <t>Medium</t>
        </is>
      </c>
      <c r="L6" s="3" t="inlineStr">
        <is>
          <t>Contains 'no proof of payment exists...' language; conflicts with payment detail.</t>
        </is>
      </c>
      <c r="M6" s="3" t="inlineStr"/>
      <c r="N6" s="3" t="n">
        <v>40</v>
      </c>
      <c r="O6" s="3" t="inlineStr">
        <is>
          <t>UNREVIEWED</t>
        </is>
      </c>
      <c r="P6" s="3" t="inlineStr">
        <is>
          <t>EVIDENCE_ITEM</t>
        </is>
      </c>
      <c r="Q6" s="3" t="inlineStr">
        <is>
          <t>DOC-ROA-TXT@L16626</t>
        </is>
      </c>
      <c r="R6" s="3" t="inlineStr">
        <is>
          <t>Evidence_Item</t>
        </is>
      </c>
      <c r="S6" s="3" t="inlineStr">
        <is>
          <t>NO</t>
        </is>
      </c>
      <c r="T6" s="3" t="inlineStr"/>
    </row>
    <row r="7">
      <c r="A7" s="3" t="inlineStr">
        <is>
          <t>ROA-TXT-18011</t>
        </is>
      </c>
      <c r="B7" s="3" t="inlineStr">
        <is>
          <t>DOC-ROA-TXT</t>
        </is>
      </c>
      <c r="C7" s="3" t="inlineStr">
        <is>
          <t>L18011</t>
        </is>
      </c>
      <c r="D7" s="3" t="inlineStr">
        <is>
          <t>Motion/Reply</t>
        </is>
      </c>
      <c r="E7" s="3" t="inlineStr">
        <is>
          <t>Defendants' Reply assertion re police report disposal</t>
        </is>
      </c>
      <c r="F7" s="3" t="inlineStr">
        <is>
          <t>Police Report #2019-00042552 documents Plaintiff's unauthorized removal and disposal of Defendant's property ..</t>
        </is>
      </c>
      <c r="G7" s="3" t="inlineStr">
        <is>
          <t>spoliation;police report;2019-00042552;motion assertion</t>
        </is>
      </c>
      <c r="H7" s="3" t="inlineStr">
        <is>
          <t>Defendants</t>
        </is>
      </c>
      <c r="I7" s="3" t="inlineStr">
        <is>
          <t>2025-02-10</t>
        </is>
      </c>
      <c r="J7" s="3" t="inlineStr">
        <is>
          <t>T1 (motion assertion)</t>
        </is>
      </c>
      <c r="K7" s="3" t="inlineStr">
        <is>
          <t>Medium</t>
        </is>
      </c>
      <c r="L7" s="3" t="inlineStr">
        <is>
          <t>Must be framed as 'Defendants argued...' unless police report ingested.</t>
        </is>
      </c>
      <c r="M7" s="3" t="inlineStr"/>
      <c r="N7" s="3" t="n">
        <v>13</v>
      </c>
      <c r="O7" s="3" t="inlineStr">
        <is>
          <t>UNREVIEWED</t>
        </is>
      </c>
      <c r="P7" s="3" t="inlineStr">
        <is>
          <t>MOTION_ASSERTION</t>
        </is>
      </c>
      <c r="Q7" s="3" t="inlineStr">
        <is>
          <t>DOC-ROA-TXT@L18011</t>
        </is>
      </c>
      <c r="R7" s="3" t="inlineStr">
        <is>
          <t>Evidence_Reference</t>
        </is>
      </c>
      <c r="S7" s="3" t="inlineStr">
        <is>
          <t>YES</t>
        </is>
      </c>
      <c r="T7" s="3" t="inlineStr"/>
    </row>
    <row r="8">
      <c r="A8" s="3" t="inlineStr">
        <is>
          <t>ROA-TXT-18017</t>
        </is>
      </c>
      <c r="B8" s="3" t="inlineStr">
        <is>
          <t>DOC-ROA-TXT</t>
        </is>
      </c>
      <c r="C8" s="3" t="inlineStr">
        <is>
          <t>L18017</t>
        </is>
      </c>
      <c r="D8" s="3" t="inlineStr">
        <is>
          <t>Motion/Reply</t>
        </is>
      </c>
      <c r="E8" s="3" t="inlineStr">
        <is>
          <t>Defendants' Reply reliance on Valcin for adverse inference</t>
        </is>
      </c>
      <c r="F8" s="3" t="inlineStr">
        <is>
          <t>Under Public Health Trust v. Valcin, 507 So. 2d 596 (Fla. 1987), this mandates an adverse inference.</t>
        </is>
      </c>
      <c r="G8" s="3" t="inlineStr">
        <is>
          <t>spoliation;Valcin;adverse inference;motion assertion</t>
        </is>
      </c>
      <c r="H8" s="3" t="inlineStr">
        <is>
          <t>Defendants</t>
        </is>
      </c>
      <c r="I8" s="3" t="inlineStr">
        <is>
          <t>2025-02-10</t>
        </is>
      </c>
      <c r="J8" s="3" t="inlineStr">
        <is>
          <t>T2/T4 (authority cited in motion)</t>
        </is>
      </c>
      <c r="K8" s="3" t="inlineStr">
        <is>
          <t>High</t>
        </is>
      </c>
      <c r="L8" s="3" t="inlineStr">
        <is>
          <t>Valcin citation appears; holding text must come from approved authority source.</t>
        </is>
      </c>
      <c r="M8" s="3" t="inlineStr"/>
      <c r="N8" s="3" t="n">
        <v>17</v>
      </c>
      <c r="O8" s="3" t="inlineStr">
        <is>
          <t>UNREVIEWED</t>
        </is>
      </c>
      <c r="P8" s="3" t="inlineStr">
        <is>
          <t>MOTION_ASSERTION</t>
        </is>
      </c>
      <c r="Q8" s="3" t="inlineStr">
        <is>
          <t>DOC-ROA-TXT@L18017</t>
        </is>
      </c>
      <c r="R8" s="3" t="inlineStr">
        <is>
          <t>Evidence_Reference</t>
        </is>
      </c>
      <c r="S8" s="3" t="inlineStr">
        <is>
          <t>YES</t>
        </is>
      </c>
      <c r="T8" s="3" t="inlineStr"/>
    </row>
  </sheetData>
  <dataValidations count="4">
    <dataValidation sqref="O2:O8" showDropDown="0" showInputMessage="0" showErrorMessage="0" allowBlank="1" type="list">
      <formula1>"YES,NO,UNREVIEWED"</formula1>
    </dataValidation>
    <dataValidation sqref="P2:P8" showDropDown="0" showInputMessage="0" showErrorMessage="0" allowBlank="1" type="list">
      <formula1>"ROA_SPINE,EVIDENCE_ITEM,EVIDENCE_REFERENCE,MOTION_ASSERTION,COURT_FINDING"</formula1>
    </dataValidation>
    <dataValidation sqref="R2:R8" showDropDown="0" showInputMessage="0" showErrorMessage="0" allowBlank="1" type="list">
      <formula1>"Evidence_Item,Evidence_Reference"</formula1>
    </dataValidation>
    <dataValidation sqref="S2:S8" showDropDown="0" showInputMessage="0" showErrorMessage="0" allowBlank="1" type="list">
      <formula1>"YES,NO"</formula1>
    </dataValidation>
  </dataValidation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5" customWidth="1" min="5" max="5"/>
    <col width="12" customWidth="1" min="6" max="6"/>
  </cols>
  <sheetData>
    <row r="1">
      <c r="A1" s="4" t="inlineStr">
        <is>
          <t>Issue_ID</t>
        </is>
      </c>
      <c r="B1" s="4" t="inlineStr">
        <is>
          <t>Title</t>
        </is>
      </c>
      <c r="C1" s="4" t="inlineStr">
        <is>
          <t>Status</t>
        </is>
      </c>
      <c r="D1" s="4" t="inlineStr">
        <is>
          <t>Key_Risks</t>
        </is>
      </c>
      <c r="E1" s="4" t="inlineStr">
        <is>
          <t>Relief_Target</t>
        </is>
      </c>
      <c r="F1" s="4" t="inlineStr">
        <is>
          <t>Notes</t>
        </is>
      </c>
    </row>
    <row r="2">
      <c r="A2" s="3" t="inlineStr">
        <is>
          <t>I-DAMAGES</t>
        </is>
      </c>
      <c r="B2" s="3" t="inlineStr">
        <is>
          <t>Damages proof / estimate vs payment / remediation invoices</t>
        </is>
      </c>
      <c r="C2" s="3" t="inlineStr">
        <is>
          <t>draft-safe</t>
        </is>
      </c>
      <c r="D2" s="3" t="inlineStr">
        <is>
          <t>Conflicting Miami Mold payment evidence; estimate-only line items</t>
        </is>
      </c>
      <c r="E2" s="3" t="inlineStr">
        <is>
          <t>damages-only (if predicate)</t>
        </is>
      </c>
      <c r="F2" s="3" t="inlineStr">
        <is>
          <t>Separate washer/dryer estimate from Miami Mold remediation payment conflict.</t>
        </is>
      </c>
    </row>
    <row r="3">
      <c r="A3" s="3" t="inlineStr">
        <is>
          <t>I-SPOLIATION</t>
        </is>
      </c>
      <c r="B3" s="3" t="inlineStr">
        <is>
          <t>Washer/dryer disposal; adverse inference</t>
        </is>
      </c>
      <c r="C3" s="3" t="inlineStr">
        <is>
          <t>draft-safe</t>
        </is>
      </c>
      <c r="D3" s="3" t="inlineStr">
        <is>
          <t>Police report text not ingested; Valcin proposition pending in table</t>
        </is>
      </c>
      <c r="E3" s="3" t="inlineStr">
        <is>
          <t>adverse inference / sanctions / evidentiary inference</t>
        </is>
      </c>
      <c r="F3" s="3" t="inlineStr">
        <is>
          <t>Frame as argument unless underlying exhibit ingested.</t>
        </is>
      </c>
    </row>
    <row r="4">
      <c r="A4" s="3" t="inlineStr">
        <is>
          <t>I-SECDEP</t>
        </is>
      </c>
      <c r="B4" s="3" t="inlineStr">
        <is>
          <t>§83.49 written notice compliance</t>
        </is>
      </c>
      <c r="C4" s="3" t="inlineStr">
        <is>
          <t>needs_record</t>
        </is>
      </c>
      <c r="D4" s="3" t="inlineStr">
        <is>
          <t>Order says no written notice; record appears to have notice</t>
        </is>
      </c>
      <c r="E4" s="3" t="inlineStr">
        <is>
          <t>liability-only (security deposit)</t>
        </is>
      </c>
      <c r="F4" s="3" t="inlineStr">
        <is>
          <t>Pull clean notice exhibit from PDF for quote.</t>
        </is>
      </c>
    </row>
  </sheetData>
  <dataValidations count="1">
    <dataValidation sqref="C2:C4" showDropDown="0" showInputMessage="0" showErrorMessage="0" allowBlank="1" type="list">
      <formula1>"draft-safe,needs_record,blocked,complete"</formula1>
    </dataValidation>
  </dataValidation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6" customWidth="1" min="5" max="5"/>
    <col width="15" customWidth="1" min="6" max="6"/>
    <col width="12" customWidth="1" min="7" max="7"/>
    <col width="12" customWidth="1" min="8" max="8"/>
  </cols>
  <sheetData>
    <row r="1">
      <c r="A1" s="4" t="inlineStr">
        <is>
          <t>Claim_ID</t>
        </is>
      </c>
      <c r="B1" s="4" t="inlineStr">
        <is>
          <t>Issue_ID</t>
        </is>
      </c>
      <c r="C1" s="4" t="inlineStr">
        <is>
          <t>Type</t>
        </is>
      </c>
      <c r="D1" s="4" t="inlineStr">
        <is>
          <t>Claim_Text</t>
        </is>
      </c>
      <c r="E1" s="4" t="inlineStr">
        <is>
          <t>RecordItem_IDs</t>
        </is>
      </c>
      <c r="F1" s="4" t="inlineStr">
        <is>
          <t>Authority_IDs</t>
        </is>
      </c>
      <c r="G1" s="4" t="inlineStr">
        <is>
          <t>Status</t>
        </is>
      </c>
      <c r="H1" s="4" t="inlineStr">
        <is>
          <t>Notes</t>
        </is>
      </c>
    </row>
    <row r="2">
      <c r="A2" s="3" t="inlineStr">
        <is>
          <t>CLM-DAM-001</t>
        </is>
      </c>
      <c r="B2" s="3" t="inlineStr">
        <is>
          <t>I-DAMAGES</t>
        </is>
      </c>
      <c r="C2" s="3" t="inlineStr">
        <is>
          <t>T1</t>
        </is>
      </c>
      <c r="D2" s="3" t="inlineStr">
        <is>
          <t>Drimmer document is labeled ESTIMATE (not proof of payment).</t>
        </is>
      </c>
      <c r="E2" s="3" t="inlineStr">
        <is>
          <t>ROA-TXT-1336</t>
        </is>
      </c>
      <c r="F2" s="3" t="inlineStr"/>
      <c r="G2" s="3" t="inlineStr">
        <is>
          <t>PARTIAL</t>
        </is>
      </c>
      <c r="H2" s="3" t="inlineStr">
        <is>
          <t>Need cleaner exhibit quote from PDF; pair with Rule 1.510 authority.</t>
        </is>
      </c>
    </row>
    <row r="3">
      <c r="A3" s="3" t="inlineStr">
        <is>
          <t>CLM-DAM-002</t>
        </is>
      </c>
      <c r="B3" s="3" t="inlineStr">
        <is>
          <t>I-DAMAGES</t>
        </is>
      </c>
      <c r="C3" s="3" t="inlineStr">
        <is>
          <t>T1</t>
        </is>
      </c>
      <c r="D3" s="3" t="inlineStr">
        <is>
          <t>Miami Mold materials contain both 'no proof of payment' language and a payment entry.</t>
        </is>
      </c>
      <c r="E3" s="3" t="inlineStr">
        <is>
          <t>ROA-TXT-16626;ROA-TXT-17966</t>
        </is>
      </c>
      <c r="F3" s="3" t="inlineStr"/>
      <c r="G3" s="3" t="inlineStr">
        <is>
          <t>CONFLICT</t>
        </is>
      </c>
      <c r="H3" s="3" t="inlineStr">
        <is>
          <t>Use as genuine dispute / credibility conflict; cannot assert 'no proof' as fact.</t>
        </is>
      </c>
    </row>
    <row r="4">
      <c r="A4" s="3" t="inlineStr">
        <is>
          <t>CLM-SPO-001</t>
        </is>
      </c>
      <c r="B4" s="3" t="inlineStr">
        <is>
          <t>I-SPOLIATION</t>
        </is>
      </c>
      <c r="C4" s="3" t="inlineStr">
        <is>
          <t>T1 (motion assertion)</t>
        </is>
      </c>
      <c r="D4" s="3" t="inlineStr">
        <is>
          <t>Defendants asserted police report documents unauthorized removal/disposal.</t>
        </is>
      </c>
      <c r="E4" s="3" t="inlineStr">
        <is>
          <t>ROA-TXT-18011</t>
        </is>
      </c>
      <c r="F4" s="3" t="inlineStr"/>
      <c r="G4" s="3" t="inlineStr">
        <is>
          <t>PARTIAL</t>
        </is>
      </c>
      <c r="H4" s="3" t="inlineStr">
        <is>
          <t>Needs police report itself to become T1 fact.</t>
        </is>
      </c>
    </row>
    <row r="5">
      <c r="A5" s="3" t="inlineStr">
        <is>
          <t>CLM-SPO-002</t>
        </is>
      </c>
      <c r="B5" s="3" t="inlineStr">
        <is>
          <t>I-SPOLIATION</t>
        </is>
      </c>
      <c r="C5" s="3" t="inlineStr">
        <is>
          <t>T2</t>
        </is>
      </c>
      <c r="D5" s="3" t="inlineStr">
        <is>
          <t>Valcin adverse inference principle (proposition pending).</t>
        </is>
      </c>
      <c r="E5" s="3" t="inlineStr">
        <is>
          <t>ROA-TXT-18017</t>
        </is>
      </c>
      <c r="F5" s="3" t="inlineStr">
        <is>
          <t>AUTH-FL-VALCIN</t>
        </is>
      </c>
      <c r="G5" s="3" t="inlineStr">
        <is>
          <t>PARTIAL</t>
        </is>
      </c>
      <c r="H5" s="3" t="inlineStr">
        <is>
          <t>Citation verified in record; need approved holding text excerpt for Proposition field.</t>
        </is>
      </c>
    </row>
  </sheetData>
  <dataValidations count="1">
    <dataValidation sqref="G2:G5" showDropDown="0" showInputMessage="0" showErrorMessage="0" allowBlank="1" type="list">
      <formula1>"SUPPORTED,PARTIAL,NO_SUPPORT,CONFLICT"</formula1>
    </dataValidation>
  </dataValidation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5" customWidth="1" min="3" max="3"/>
    <col width="15" customWidth="1" min="4" max="4"/>
    <col width="60" customWidth="1" min="5" max="5"/>
    <col width="12" customWidth="1" min="6" max="6"/>
    <col width="60" customWidth="1" min="7" max="7"/>
    <col width="18" customWidth="1" min="8" max="8"/>
    <col width="12" customWidth="1" min="9" max="9"/>
    <col width="12" customWidth="1" min="10" max="10"/>
    <col width="12" customWidth="1" min="11" max="11"/>
    <col width="21" customWidth="1" min="12" max="12"/>
    <col width="21" customWidth="1" min="13" max="13"/>
    <col width="12" customWidth="1" min="14" max="14"/>
  </cols>
  <sheetData>
    <row r="1">
      <c r="A1" s="4" t="inlineStr">
        <is>
          <t>Conflict_ID</t>
        </is>
      </c>
      <c r="B1" s="4" t="inlineStr">
        <is>
          <t>Issue_ID</t>
        </is>
      </c>
      <c r="C1" s="4" t="inlineStr">
        <is>
          <t>Item_A</t>
        </is>
      </c>
      <c r="D1" s="4" t="inlineStr">
        <is>
          <t>Item_B</t>
        </is>
      </c>
      <c r="E1" s="4" t="inlineStr">
        <is>
          <t>Description</t>
        </is>
      </c>
      <c r="F1" s="4" t="inlineStr">
        <is>
          <t>Impact</t>
        </is>
      </c>
      <c r="G1" s="4" t="inlineStr">
        <is>
          <t>Resolution_Path</t>
        </is>
      </c>
      <c r="H1" s="4" t="inlineStr">
        <is>
          <t>Conflict_Type</t>
        </is>
      </c>
      <c r="I1" s="4" t="inlineStr">
        <is>
          <t>Layer_A</t>
        </is>
      </c>
      <c r="J1" s="4" t="inlineStr">
        <is>
          <t>Layer_B</t>
        </is>
      </c>
      <c r="K1" s="4" t="inlineStr">
        <is>
          <t>Use_Mode</t>
        </is>
      </c>
      <c r="L1" s="4" t="inlineStr">
        <is>
          <t>Evidence_A_Verbatim</t>
        </is>
      </c>
      <c r="M1" s="4" t="inlineStr">
        <is>
          <t>Evidence_B_Verbatim</t>
        </is>
      </c>
      <c r="N1" s="4" t="inlineStr">
        <is>
          <t>Status</t>
        </is>
      </c>
    </row>
    <row r="2">
      <c r="A2" s="3" t="inlineStr">
        <is>
          <t>CON-001</t>
        </is>
      </c>
      <c r="B2" s="3" t="inlineStr">
        <is>
          <t>I-DAMAGES</t>
        </is>
      </c>
      <c r="C2" s="3" t="inlineStr">
        <is>
          <t>ROA-TXT-16626</t>
        </is>
      </c>
      <c r="D2" s="3" t="inlineStr">
        <is>
          <t>ROA-TXT-17966</t>
        </is>
      </c>
      <c r="E2" s="3" t="inlineStr">
        <is>
          <t>Miami Mold letter says 'no proof of payment exists' while payment detail shows cash payment entry.</t>
        </is>
      </c>
      <c r="F2" s="3" t="inlineStr">
        <is>
          <t>High</t>
        </is>
      </c>
      <c r="G2" s="3" t="inlineStr">
        <is>
          <t>Frame as internal record conflict; argue dispute/credibility; avoid categorical statements.</t>
        </is>
      </c>
      <c r="H2" s="3" t="inlineStr">
        <is>
          <t>record-vs-record</t>
        </is>
      </c>
      <c r="I2" s="3" t="inlineStr"/>
      <c r="J2" s="3" t="inlineStr"/>
      <c r="K2" s="3" t="inlineStr">
        <is>
          <t>exploit</t>
        </is>
      </c>
      <c r="L2" s="3" t="inlineStr"/>
      <c r="M2" s="3" t="inlineStr"/>
      <c r="N2" s="3" t="inlineStr">
        <is>
          <t>OPEN</t>
        </is>
      </c>
    </row>
  </sheetData>
  <dataValidations count="2">
    <dataValidation sqref="K2" showDropDown="0" showInputMessage="0" showErrorMessage="0" allowBlank="1" type="list">
      <formula1>"exploit,reconcile,needs_record"</formula1>
    </dataValidation>
    <dataValidation sqref="N2" showDropDown="0" showInputMessage="0" showErrorMessage="0" allowBlank="1" type="list">
      <formula1>"OPEN,IN_PROGRESS,DONE"</formula1>
    </dataValidation>
  </dataValidation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s>
  <sheetData>
    <row r="1">
      <c r="A1" s="4" t="inlineStr">
        <is>
          <t>Task_ID</t>
        </is>
      </c>
      <c r="B1" s="4" t="inlineStr">
        <is>
          <t>Priority</t>
        </is>
      </c>
      <c r="C1" s="4" t="inlineStr">
        <is>
          <t>Task</t>
        </is>
      </c>
      <c r="D1" s="4" t="inlineStr">
        <is>
          <t>Status</t>
        </is>
      </c>
      <c r="E1" s="4" t="inlineStr">
        <is>
          <t>Owner</t>
        </is>
      </c>
      <c r="F1" s="4" t="inlineStr">
        <is>
          <t>Due</t>
        </is>
      </c>
      <c r="G1" s="4" t="inlineStr">
        <is>
          <t>Notes</t>
        </is>
      </c>
    </row>
    <row r="2">
      <c r="A2" s="3" t="inlineStr">
        <is>
          <t>HT-VALCIN-PROP</t>
        </is>
      </c>
      <c r="B2" s="3" t="inlineStr">
        <is>
          <t>P1</t>
        </is>
      </c>
      <c r="C2" s="3" t="inlineStr">
        <is>
          <t>Populate Valcin proposition text from approved source (no web unless allowed).</t>
        </is>
      </c>
      <c r="D2" s="3" t="inlineStr">
        <is>
          <t>OPEN</t>
        </is>
      </c>
      <c r="E2" s="3" t="inlineStr"/>
      <c r="F2" s="3" t="inlineStr"/>
      <c r="G2" s="3" t="inlineStr">
        <is>
          <t>Authority row created; proposition pending.</t>
        </is>
      </c>
    </row>
    <row r="3">
      <c r="A3" s="3" t="inlineStr">
        <is>
          <t>HT-POLICE-REPORT</t>
        </is>
      </c>
      <c r="B3" s="3" t="inlineStr">
        <is>
          <t>P1</t>
        </is>
      </c>
      <c r="C3" s="3" t="inlineStr">
        <is>
          <t>Ingest Police Report #2019-00042552 into RecordItems with quote-ready excerpt.</t>
        </is>
      </c>
      <c r="D3" s="3" t="inlineStr">
        <is>
          <t>OPEN</t>
        </is>
      </c>
      <c r="E3" s="3" t="inlineStr"/>
      <c r="F3" s="3" t="inlineStr"/>
      <c r="G3" s="3" t="inlineStr">
        <is>
          <t>Current support is motion assertion / deposition reference only.</t>
        </is>
      </c>
    </row>
    <row r="4">
      <c r="A4" s="3" t="inlineStr">
        <is>
          <t>HT-DRIMMER-PDF</t>
        </is>
      </c>
      <c r="B4" s="3" t="inlineStr">
        <is>
          <t>P1</t>
        </is>
      </c>
      <c r="C4" s="3" t="inlineStr">
        <is>
          <t>Extract clean Drimmer exhibit quote (ESTIMATE/DELIVERY ONLY) from ROA PDF for use in brief.</t>
        </is>
      </c>
      <c r="D4" s="3" t="inlineStr">
        <is>
          <t>OPEN</t>
        </is>
      </c>
      <c r="E4" s="3" t="inlineStr"/>
      <c r="F4" s="3" t="inlineStr"/>
      <c r="G4" s="3" t="inlineStr">
        <is>
          <t>TXT has label but PDF likely cleaner.</t>
        </is>
      </c>
    </row>
  </sheetData>
  <dataValidations count="2">
    <dataValidation sqref="D2:D4" showDropDown="0" showInputMessage="0" showErrorMessage="0" allowBlank="1" type="list">
      <formula1>"OPEN,IN_PROGRESS,DONE,BLOCKED"</formula1>
    </dataValidation>
    <dataValidation sqref="B2:B4" showDropDown="0" showInputMessage="0" showErrorMessage="0" allowBlank="1" type="list">
      <formula1>"P0,P1,P2,P3"</formula1>
    </dataValidation>
  </dataValidation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I14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23" customWidth="1" min="6" max="6"/>
    <col width="17" customWidth="1" min="7" max="7"/>
    <col width="12" customWidth="1" min="8" max="8"/>
    <col width="21" customWidth="1" min="9" max="9"/>
  </cols>
  <sheetData>
    <row r="1">
      <c r="A1" s="4" t="inlineStr">
        <is>
          <t>Entity_ID</t>
        </is>
      </c>
      <c r="B1" s="4" t="inlineStr">
        <is>
          <t>Name</t>
        </is>
      </c>
      <c r="C1" s="4" t="inlineStr">
        <is>
          <t>Category</t>
        </is>
      </c>
      <c r="D1" s="4" t="inlineStr">
        <is>
          <t>Layer</t>
        </is>
      </c>
      <c r="E1" s="4" t="inlineStr">
        <is>
          <t>Canonical</t>
        </is>
      </c>
      <c r="F1" s="4" t="inlineStr">
        <is>
          <t>Definition_or_Context</t>
        </is>
      </c>
      <c r="G1" s="4" t="inlineStr">
        <is>
          <t>Source_Location</t>
        </is>
      </c>
      <c r="H1" s="4" t="inlineStr">
        <is>
          <t>Notes</t>
        </is>
      </c>
      <c r="I1" s="4" t="inlineStr">
        <is>
          <t>Canonical_Entity_ID</t>
        </is>
      </c>
    </row>
    <row r="2">
      <c r="A2" s="3" t="inlineStr">
        <is>
          <t>DOC-ROA-PDF</t>
        </is>
      </c>
      <c r="B2" s="3" t="inlineStr">
        <is>
          <t>Record - Record on Appeal.pdf</t>
        </is>
      </c>
      <c r="C2" s="3" t="inlineStr">
        <is>
          <t>Document</t>
        </is>
      </c>
      <c r="D2" s="3" t="inlineStr">
        <is>
          <t>EVIDENCE_ITEM</t>
        </is>
      </c>
      <c r="E2" s="3" t="inlineStr">
        <is>
          <t>YES</t>
        </is>
      </c>
      <c r="F2" s="3" t="inlineStr">
        <is>
          <t>Record on Appeal</t>
        </is>
      </c>
      <c r="G2" s="3" t="inlineStr">
        <is>
          <t>/mnt/data/Record - Record on Appeal.pdf</t>
        </is>
      </c>
      <c r="H2" s="3" t="inlineStr"/>
      <c r="I2" s="3" t="inlineStr">
        <is>
          <t>DOC-ROA-PDF</t>
        </is>
      </c>
    </row>
    <row r="3">
      <c r="A3" s="3" t="inlineStr">
        <is>
          <t>DOC-ROA-TXT</t>
        </is>
      </c>
      <c r="B3" s="3" t="inlineStr">
        <is>
          <t>Record - Record on Appeal.txt</t>
        </is>
      </c>
      <c r="C3" s="3" t="inlineStr">
        <is>
          <t>Document</t>
        </is>
      </c>
      <c r="D3" s="3" t="inlineStr">
        <is>
          <t>EVIDENCE_ITEM</t>
        </is>
      </c>
      <c r="E3" s="3" t="inlineStr">
        <is>
          <t>YES</t>
        </is>
      </c>
      <c r="F3" s="3" t="inlineStr">
        <is>
          <t>Record on Appeal (text)</t>
        </is>
      </c>
      <c r="G3" s="3" t="inlineStr">
        <is>
          <t>/mnt/data/Record - Record on Appeal.txt</t>
        </is>
      </c>
      <c r="H3" s="3" t="inlineStr"/>
      <c r="I3" s="3" t="inlineStr">
        <is>
          <t>DOC-ROA-TXT</t>
        </is>
      </c>
    </row>
    <row r="4">
      <c r="A4" s="3" t="inlineStr">
        <is>
          <t>DOC-INITIAL-BRIEF</t>
        </is>
      </c>
      <c r="B4" s="3" t="inlineStr">
        <is>
          <t>COHEN_INITIAL_BRIEF_AESTHETIC_FINAL.pdf</t>
        </is>
      </c>
      <c r="C4" s="3" t="inlineStr">
        <is>
          <t>Document</t>
        </is>
      </c>
      <c r="D4" s="3" t="inlineStr">
        <is>
          <t>EVIDENCE_ITEM</t>
        </is>
      </c>
      <c r="E4" s="3" t="inlineStr">
        <is>
          <t>YES</t>
        </is>
      </c>
      <c r="F4" s="3" t="inlineStr">
        <is>
          <t>Brief</t>
        </is>
      </c>
      <c r="G4" s="3" t="inlineStr">
        <is>
          <t>/mnt/data/COHEN_INITIAL_BRIEF_AESTHETIC_FINAL.pdf</t>
        </is>
      </c>
      <c r="H4" s="3" t="inlineStr"/>
      <c r="I4" s="3" t="inlineStr">
        <is>
          <t>DOC-INITIAL-BRIEF</t>
        </is>
      </c>
    </row>
    <row r="5">
      <c r="A5" s="3" t="inlineStr">
        <is>
          <t>I-DAMAGES</t>
        </is>
      </c>
      <c r="B5" s="3" t="inlineStr">
        <is>
          <t>Damages proof / estimate vs payment / remediation invoices</t>
        </is>
      </c>
      <c r="C5" s="3" t="inlineStr">
        <is>
          <t>Issue</t>
        </is>
      </c>
      <c r="D5" s="3" t="inlineStr">
        <is>
          <t>ROA_SPINE</t>
        </is>
      </c>
      <c r="E5" s="3" t="inlineStr">
        <is>
          <t>YES</t>
        </is>
      </c>
      <c r="F5" s="3" t="inlineStr">
        <is>
          <t>draft-safe</t>
        </is>
      </c>
      <c r="G5" s="3" t="inlineStr"/>
      <c r="H5" s="3" t="inlineStr">
        <is>
          <t>Conflicting Miami Mold payment evidence; estimate-only line items | Separate washer/dryer estimate from Miami Mold remediation payment conflict.</t>
        </is>
      </c>
      <c r="I5" s="3" t="inlineStr">
        <is>
          <t>I-DAMAGES</t>
        </is>
      </c>
    </row>
    <row r="6">
      <c r="A6" s="3" t="inlineStr">
        <is>
          <t>I-SPOLIATION</t>
        </is>
      </c>
      <c r="B6" s="3" t="inlineStr">
        <is>
          <t>Washer/dryer disposal; adverse inference</t>
        </is>
      </c>
      <c r="C6" s="3" t="inlineStr">
        <is>
          <t>Issue</t>
        </is>
      </c>
      <c r="D6" s="3" t="inlineStr">
        <is>
          <t>ROA_SPINE</t>
        </is>
      </c>
      <c r="E6" s="3" t="inlineStr">
        <is>
          <t>YES</t>
        </is>
      </c>
      <c r="F6" s="3" t="inlineStr">
        <is>
          <t>draft-safe</t>
        </is>
      </c>
      <c r="G6" s="3" t="inlineStr"/>
      <c r="H6" s="3" t="inlineStr">
        <is>
          <t>Police report text not ingested; Valcin proposition pending in table | Frame as argument unless underlying exhibit ingested.</t>
        </is>
      </c>
      <c r="I6" s="3" t="inlineStr">
        <is>
          <t>I-SPOLIATION</t>
        </is>
      </c>
    </row>
    <row r="7">
      <c r="A7" s="3" t="inlineStr">
        <is>
          <t>I-SECDEP</t>
        </is>
      </c>
      <c r="B7" s="3" t="inlineStr">
        <is>
          <t>§83.49 written notice compliance</t>
        </is>
      </c>
      <c r="C7" s="3" t="inlineStr">
        <is>
          <t>Issue</t>
        </is>
      </c>
      <c r="D7" s="3" t="inlineStr">
        <is>
          <t>ROA_SPINE</t>
        </is>
      </c>
      <c r="E7" s="3" t="inlineStr">
        <is>
          <t>YES</t>
        </is>
      </c>
      <c r="F7" s="3" t="inlineStr">
        <is>
          <t>needs_record</t>
        </is>
      </c>
      <c r="G7" s="3" t="inlineStr"/>
      <c r="H7" s="3" t="inlineStr">
        <is>
          <t>Order says no written notice; record appears to have notice | Pull clean notice exhibit from PDF for quote.</t>
        </is>
      </c>
      <c r="I7" s="3" t="inlineStr">
        <is>
          <t>I-SECDEP</t>
        </is>
      </c>
    </row>
    <row r="8">
      <c r="A8" s="3" t="inlineStr">
        <is>
          <t>AUTH-FL-VALCIN</t>
        </is>
      </c>
      <c r="B8" s="3" t="inlineStr">
        <is>
          <t>Valcin</t>
        </is>
      </c>
      <c r="C8" s="3" t="inlineStr">
        <is>
          <t>Authority</t>
        </is>
      </c>
      <c r="D8" s="3" t="inlineStr">
        <is>
          <t>EVIDENCE_ITEM</t>
        </is>
      </c>
      <c r="E8" s="3" t="inlineStr">
        <is>
          <t>YES</t>
        </is>
      </c>
      <c r="F8" s="3" t="inlineStr">
        <is>
          <t>Public Health Trust v. Valcin, 507 So. 2d 596 (Fla. 1987)</t>
        </is>
      </c>
      <c r="G8" s="3" t="inlineStr"/>
      <c r="H8" s="3" t="inlineStr">
        <is>
          <t>ROA cites Valcin; holding text requires approved source.</t>
        </is>
      </c>
      <c r="I8" s="3" t="inlineStr">
        <is>
          <t>AUTH-FL-VALCIN</t>
        </is>
      </c>
    </row>
    <row r="9">
      <c r="A9" s="3" t="inlineStr">
        <is>
          <t>AUTH-FL-RULE-1510</t>
        </is>
      </c>
      <c r="B9" s="3" t="inlineStr">
        <is>
          <t>Rule 1.510</t>
        </is>
      </c>
      <c r="C9" s="3" t="inlineStr">
        <is>
          <t>Authority</t>
        </is>
      </c>
      <c r="D9" s="3" t="inlineStr">
        <is>
          <t>EVIDENCE_ITEM</t>
        </is>
      </c>
      <c r="E9" s="3" t="inlineStr">
        <is>
          <t>YES</t>
        </is>
      </c>
      <c r="F9" s="3" t="inlineStr">
        <is>
          <t>Fla. R. Civ. P. 1.510 (Summary Judgment) (as adopted/updated)</t>
        </is>
      </c>
      <c r="G9" s="3" t="inlineStr"/>
      <c r="H9" s="3" t="inlineStr">
        <is>
          <t>Add approved rule text excerpt to authority table for court-ready quoting.</t>
        </is>
      </c>
      <c r="I9" s="3" t="inlineStr">
        <is>
          <t>AUTH-FL-RULE-1510</t>
        </is>
      </c>
    </row>
    <row r="10">
      <c r="A10" s="3" t="inlineStr">
        <is>
          <t>ROA-TXT-5960</t>
        </is>
      </c>
      <c r="B10" s="3" t="inlineStr">
        <is>
          <t>Security deposit notice title line</t>
        </is>
      </c>
      <c r="C10" s="3" t="inlineStr">
        <is>
          <t>Evidence_Item</t>
        </is>
      </c>
      <c r="D10" s="3" t="inlineStr">
        <is>
          <t>EVIDENCE_ITEM</t>
        </is>
      </c>
      <c r="E10" s="3" t="inlineStr">
        <is>
          <t>YES</t>
        </is>
      </c>
      <c r="F10" s="3" t="inlineStr">
        <is>
          <t>Exhibit/Notice</t>
        </is>
      </c>
      <c r="G10" s="3" t="inlineStr">
        <is>
          <t>DOC-ROA-TXT@L5960</t>
        </is>
      </c>
      <c r="H10" s="3" t="inlineStr">
        <is>
          <t>83.49;security deposit;notice</t>
        </is>
      </c>
      <c r="I10" s="3" t="inlineStr">
        <is>
          <t>ROA-TXT-5960</t>
        </is>
      </c>
    </row>
    <row r="11">
      <c r="A11" s="3" t="inlineStr">
        <is>
          <t>ROA-TXT-5962</t>
        </is>
      </c>
      <c r="B11" s="3" t="inlineStr">
        <is>
          <t>Security deposit notice date line</t>
        </is>
      </c>
      <c r="C11" s="3" t="inlineStr">
        <is>
          <t>Evidence_Item</t>
        </is>
      </c>
      <c r="D11" s="3" t="inlineStr">
        <is>
          <t>EVIDENCE_ITEM</t>
        </is>
      </c>
      <c r="E11" s="3" t="inlineStr">
        <is>
          <t>YES</t>
        </is>
      </c>
      <c r="F11" s="3" t="inlineStr">
        <is>
          <t>Exhibit/Notice</t>
        </is>
      </c>
      <c r="G11" s="3" t="inlineStr">
        <is>
          <t>DOC-ROA-TXT@L5962</t>
        </is>
      </c>
      <c r="H11" s="3" t="inlineStr">
        <is>
          <t>83.49;security deposit;notice;date</t>
        </is>
      </c>
      <c r="I11" s="3" t="inlineStr">
        <is>
          <t>ROA-TXT-5962</t>
        </is>
      </c>
    </row>
    <row r="12">
      <c r="A12" s="3" t="inlineStr">
        <is>
          <t>ROA-TXT-1336</t>
        </is>
      </c>
      <c r="B12" s="3" t="inlineStr">
        <is>
          <t>Drimmer estimate label line</t>
        </is>
      </c>
      <c r="C12" s="3" t="inlineStr">
        <is>
          <t>Evidence_Item</t>
        </is>
      </c>
      <c r="D12" s="3" t="inlineStr">
        <is>
          <t>EVIDENCE_ITEM</t>
        </is>
      </c>
      <c r="E12" s="3" t="inlineStr">
        <is>
          <t>YES</t>
        </is>
      </c>
      <c r="F12" s="3" t="inlineStr">
        <is>
          <t>Exhibit/Estimate</t>
        </is>
      </c>
      <c r="G12" s="3" t="inlineStr">
        <is>
          <t>DOC-ROA-TXT@L1336</t>
        </is>
      </c>
      <c r="H12" s="3" t="inlineStr">
        <is>
          <t>damages;washer dryer;estimate</t>
        </is>
      </c>
      <c r="I12" s="3" t="inlineStr">
        <is>
          <t>ROA-TXT-1336</t>
        </is>
      </c>
    </row>
    <row r="13">
      <c r="A13" s="3" t="inlineStr">
        <is>
          <t>ROA-TXT-17966</t>
        </is>
      </c>
      <c r="B13" s="3" t="inlineStr">
        <is>
          <t>Miami Mold payment detail lines (amount/method/invoice)</t>
        </is>
      </c>
      <c r="C13" s="3" t="inlineStr">
        <is>
          <t>Evidence_Item</t>
        </is>
      </c>
      <c r="D13" s="3" t="inlineStr">
        <is>
          <t>EVIDENCE_ITEM</t>
        </is>
      </c>
      <c r="E13" s="3" t="inlineStr">
        <is>
          <t>YES</t>
        </is>
      </c>
      <c r="F13" s="3" t="inlineStr">
        <is>
          <t>Exhibit/Invoice/Payment</t>
        </is>
      </c>
      <c r="G13" s="3" t="inlineStr">
        <is>
          <t>DOC-ROA-TXT@L17966-L17968</t>
        </is>
      </c>
      <c r="H13" s="3" t="inlineStr">
        <is>
          <t>damages;remediation;payment;Miami Mold;invoice 80623</t>
        </is>
      </c>
      <c r="I13" s="3" t="inlineStr">
        <is>
          <t>ROA-TXT-17966</t>
        </is>
      </c>
    </row>
    <row r="14">
      <c r="A14" s="3" t="inlineStr">
        <is>
          <t>ROA-TXT-16626</t>
        </is>
      </c>
      <c r="B14" s="3" t="inlineStr">
        <is>
          <t>Miami Mold June 3, 2019 letter re: proof of payment</t>
        </is>
      </c>
      <c r="C14" s="3" t="inlineStr">
        <is>
          <t>Evidence_Item</t>
        </is>
      </c>
      <c r="D14" s="3" t="inlineStr">
        <is>
          <t>EVIDENCE_ITEM</t>
        </is>
      </c>
      <c r="E14" s="3" t="inlineStr">
        <is>
          <t>YES</t>
        </is>
      </c>
      <c r="F14" s="3" t="inlineStr">
        <is>
          <t>Exhibit/Letter</t>
        </is>
      </c>
      <c r="G14" s="3" t="inlineStr">
        <is>
          <t>DOC-ROA-TXT@L16626</t>
        </is>
      </c>
      <c r="H14" s="3" t="inlineStr">
        <is>
          <t>damages;remediation;payment dispute;Miami Mold</t>
        </is>
      </c>
      <c r="I14" s="3" t="inlineStr">
        <is>
          <t>ROA-TXT-16626</t>
        </is>
      </c>
    </row>
    <row r="15">
      <c r="A15" s="3" t="inlineStr">
        <is>
          <t>ROA-TXT-18011</t>
        </is>
      </c>
      <c r="B15" s="3" t="inlineStr">
        <is>
          <t>Defendants' Reply assertion re police report disposal</t>
        </is>
      </c>
      <c r="C15" s="3" t="inlineStr">
        <is>
          <t>Evidence_Reference</t>
        </is>
      </c>
      <c r="D15" s="3" t="inlineStr">
        <is>
          <t>MOTION_ASSERTION</t>
        </is>
      </c>
      <c r="E15" s="3" t="inlineStr">
        <is>
          <t>YES</t>
        </is>
      </c>
      <c r="F15" s="3" t="inlineStr">
        <is>
          <t>Motion/Reply</t>
        </is>
      </c>
      <c r="G15" s="3" t="inlineStr">
        <is>
          <t>DOC-ROA-TXT@L18011</t>
        </is>
      </c>
      <c r="H15" s="3" t="inlineStr">
        <is>
          <t>spoliation;police report;2019-00042552;motion assertion</t>
        </is>
      </c>
      <c r="I15" s="3" t="inlineStr">
        <is>
          <t>ROA-TXT-18011</t>
        </is>
      </c>
    </row>
    <row r="16">
      <c r="A16" s="3" t="inlineStr">
        <is>
          <t>ROA-TXT-18017</t>
        </is>
      </c>
      <c r="B16" s="3" t="inlineStr">
        <is>
          <t>Defendants' Reply reliance on Valcin for adverse inference</t>
        </is>
      </c>
      <c r="C16" s="3" t="inlineStr">
        <is>
          <t>Evidence_Reference</t>
        </is>
      </c>
      <c r="D16" s="3" t="inlineStr">
        <is>
          <t>MOTION_ASSERTION</t>
        </is>
      </c>
      <c r="E16" s="3" t="inlineStr">
        <is>
          <t>YES</t>
        </is>
      </c>
      <c r="F16" s="3" t="inlineStr">
        <is>
          <t>Motion/Reply</t>
        </is>
      </c>
      <c r="G16" s="3" t="inlineStr">
        <is>
          <t>DOC-ROA-TXT@L18017</t>
        </is>
      </c>
      <c r="H16" s="3" t="inlineStr">
        <is>
          <t>spoliation;Valcin;adverse inference;motion assertion</t>
        </is>
      </c>
      <c r="I16" s="3" t="inlineStr">
        <is>
          <t>ROA-TXT-18017</t>
        </is>
      </c>
    </row>
    <row r="17">
      <c r="A17" s="3" t="inlineStr">
        <is>
          <t>CLM-DAM-001</t>
        </is>
      </c>
      <c r="B17" s="3" t="inlineStr">
        <is>
          <t>Drimmer document is labeled ESTIMATE (not proof of payment).</t>
        </is>
      </c>
      <c r="C17" s="3" t="inlineStr">
        <is>
          <t>Claim</t>
        </is>
      </c>
      <c r="D17" s="3" t="inlineStr">
        <is>
          <t>EVIDENCE_ITEM</t>
        </is>
      </c>
      <c r="E17" s="3" t="inlineStr">
        <is>
          <t>YES</t>
        </is>
      </c>
      <c r="F17" s="3" t="inlineStr">
        <is>
          <t>T1</t>
        </is>
      </c>
      <c r="G17" s="3" t="inlineStr"/>
      <c r="H17" s="3" t="inlineStr">
        <is>
          <t>PARTIAL</t>
        </is>
      </c>
      <c r="I17" s="3" t="inlineStr">
        <is>
          <t>CLM-DAM-001</t>
        </is>
      </c>
    </row>
    <row r="18">
      <c r="A18" s="3" t="inlineStr">
        <is>
          <t>CLM-DAM-002</t>
        </is>
      </c>
      <c r="B18" s="3" t="inlineStr">
        <is>
          <t>Miami Mold materials contain both 'no proof of payment' language and a payment e</t>
        </is>
      </c>
      <c r="C18" s="3" t="inlineStr">
        <is>
          <t>Claim</t>
        </is>
      </c>
      <c r="D18" s="3" t="inlineStr">
        <is>
          <t>EVIDENCE_ITEM</t>
        </is>
      </c>
      <c r="E18" s="3" t="inlineStr">
        <is>
          <t>YES</t>
        </is>
      </c>
      <c r="F18" s="3" t="inlineStr">
        <is>
          <t>T1</t>
        </is>
      </c>
      <c r="G18" s="3" t="inlineStr"/>
      <c r="H18" s="3" t="inlineStr">
        <is>
          <t>CONFLICT</t>
        </is>
      </c>
      <c r="I18" s="3" t="inlineStr">
        <is>
          <t>CLM-DAM-002</t>
        </is>
      </c>
    </row>
    <row r="19">
      <c r="A19" s="3" t="inlineStr">
        <is>
          <t>CLM-SPO-001</t>
        </is>
      </c>
      <c r="B19" s="3" t="inlineStr">
        <is>
          <t>Defendants asserted police report documents unauthorized removal/disposal.</t>
        </is>
      </c>
      <c r="C19" s="3" t="inlineStr">
        <is>
          <t>Claim</t>
        </is>
      </c>
      <c r="D19" s="3" t="inlineStr">
        <is>
          <t>EVIDENCE_ITEM</t>
        </is>
      </c>
      <c r="E19" s="3" t="inlineStr">
        <is>
          <t>YES</t>
        </is>
      </c>
      <c r="F19" s="3" t="inlineStr">
        <is>
          <t>T1 (motion assertion)</t>
        </is>
      </c>
      <c r="G19" s="3" t="inlineStr"/>
      <c r="H19" s="3" t="inlineStr">
        <is>
          <t>PARTIAL</t>
        </is>
      </c>
      <c r="I19" s="3" t="inlineStr">
        <is>
          <t>CLM-SPO-001</t>
        </is>
      </c>
    </row>
    <row r="20">
      <c r="A20" s="3" t="inlineStr">
        <is>
          <t>CLM-SPO-002</t>
        </is>
      </c>
      <c r="B20" s="3" t="inlineStr">
        <is>
          <t>Valcin adverse inference principle (proposition pending).</t>
        </is>
      </c>
      <c r="C20" s="3" t="inlineStr">
        <is>
          <t>Claim</t>
        </is>
      </c>
      <c r="D20" s="3" t="inlineStr">
        <is>
          <t>EVIDENCE_ITEM</t>
        </is>
      </c>
      <c r="E20" s="3" t="inlineStr">
        <is>
          <t>YES</t>
        </is>
      </c>
      <c r="F20" s="3" t="inlineStr">
        <is>
          <t>T2</t>
        </is>
      </c>
      <c r="G20" s="3" t="inlineStr"/>
      <c r="H20" s="3" t="inlineStr">
        <is>
          <t>PARTIAL</t>
        </is>
      </c>
      <c r="I20" s="3" t="inlineStr">
        <is>
          <t>CLM-SPO-002</t>
        </is>
      </c>
    </row>
    <row r="21">
      <c r="A21" s="3" t="inlineStr">
        <is>
          <t>CON-001</t>
        </is>
      </c>
      <c r="B21" s="3" t="inlineStr">
        <is>
          <t>Miami Mold letter says 'no proof of payment exists' while payment detail shows c</t>
        </is>
      </c>
      <c r="C21" s="3" t="inlineStr">
        <is>
          <t>Contradiction</t>
        </is>
      </c>
      <c r="D21" s="3" t="inlineStr">
        <is>
          <t>EVIDENCE_ITEM</t>
        </is>
      </c>
      <c r="E21" s="3" t="inlineStr">
        <is>
          <t>YES</t>
        </is>
      </c>
      <c r="F21" s="3" t="inlineStr">
        <is>
          <t>record-vs-record</t>
        </is>
      </c>
      <c r="G21" s="3" t="inlineStr"/>
      <c r="H21" s="3" t="inlineStr">
        <is>
          <t>Frame as internal record conflict; argue dispute/credibility; avoid categorical statements.</t>
        </is>
      </c>
      <c r="I21" s="3" t="inlineStr">
        <is>
          <t>CON-001</t>
        </is>
      </c>
    </row>
    <row r="22">
      <c r="A22" s="3" t="inlineStr">
        <is>
          <t>HT-VALCIN-PROP</t>
        </is>
      </c>
      <c r="B22" s="3" t="inlineStr">
        <is>
          <t>Populate Valcin proposition text from approved source (no web unless allowed).</t>
        </is>
      </c>
      <c r="C22" s="3" t="inlineStr">
        <is>
          <t>Task</t>
        </is>
      </c>
      <c r="D22" s="3" t="inlineStr">
        <is>
          <t>ROA_SPINE</t>
        </is>
      </c>
      <c r="E22" s="3" t="inlineStr">
        <is>
          <t>YES</t>
        </is>
      </c>
      <c r="F22" s="3" t="inlineStr">
        <is>
          <t>P1</t>
        </is>
      </c>
      <c r="G22" s="3" t="inlineStr"/>
      <c r="H22" s="3" t="inlineStr">
        <is>
          <t>OPEN</t>
        </is>
      </c>
      <c r="I22" s="3" t="inlineStr">
        <is>
          <t>HT-VALCIN-PROP</t>
        </is>
      </c>
    </row>
    <row r="23">
      <c r="A23" s="3" t="inlineStr">
        <is>
          <t>HT-POLICE-REPORT</t>
        </is>
      </c>
      <c r="B23" s="3" t="inlineStr">
        <is>
          <t>Ingest Police Report #2019-00042552 into RecordItems with quote-ready excerpt.</t>
        </is>
      </c>
      <c r="C23" s="3" t="inlineStr">
        <is>
          <t>Task</t>
        </is>
      </c>
      <c r="D23" s="3" t="inlineStr">
        <is>
          <t>ROA_SPINE</t>
        </is>
      </c>
      <c r="E23" s="3" t="inlineStr">
        <is>
          <t>YES</t>
        </is>
      </c>
      <c r="F23" s="3" t="inlineStr">
        <is>
          <t>P1</t>
        </is>
      </c>
      <c r="G23" s="3" t="inlineStr"/>
      <c r="H23" s="3" t="inlineStr">
        <is>
          <t>OPEN</t>
        </is>
      </c>
      <c r="I23" s="3" t="inlineStr">
        <is>
          <t>HT-POLICE-REPORT</t>
        </is>
      </c>
    </row>
    <row r="24">
      <c r="A24" s="3" t="inlineStr">
        <is>
          <t>HT-DRIMMER-PDF</t>
        </is>
      </c>
      <c r="B24" s="3" t="inlineStr">
        <is>
          <t>Extract clean Drimmer exhibit quote (ESTIMATE/DELIVERY ONLY) from ROA PDF for us</t>
        </is>
      </c>
      <c r="C24" s="3" t="inlineStr">
        <is>
          <t>Task</t>
        </is>
      </c>
      <c r="D24" s="3" t="inlineStr">
        <is>
          <t>ROA_SPINE</t>
        </is>
      </c>
      <c r="E24" s="3" t="inlineStr">
        <is>
          <t>YES</t>
        </is>
      </c>
      <c r="F24" s="3" t="inlineStr">
        <is>
          <t>P1</t>
        </is>
      </c>
      <c r="G24" s="3" t="inlineStr"/>
      <c r="H24" s="3" t="inlineStr">
        <is>
          <t>OPEN</t>
        </is>
      </c>
      <c r="I24" s="3" t="inlineStr">
        <is>
          <t>HT-DRIMMER-PDF</t>
        </is>
      </c>
    </row>
    <row r="25">
      <c r="A25" s="3" t="inlineStr">
        <is>
          <t>PTY-ELI-COHEN</t>
        </is>
      </c>
      <c r="B25" s="3" t="inlineStr">
        <is>
          <t>Eli Cohen</t>
        </is>
      </c>
      <c r="C25" s="3" t="inlineStr">
        <is>
          <t>Party</t>
        </is>
      </c>
      <c r="D25" s="3" t="inlineStr">
        <is>
          <t>ROA_SPINE</t>
        </is>
      </c>
      <c r="E25" s="3" t="inlineStr">
        <is>
          <t>YES</t>
        </is>
      </c>
      <c r="F25" s="3" t="inlineStr"/>
      <c r="G25" s="3" t="inlineStr">
        <is>
          <t>DOC-ROA-TXT@L32</t>
        </is>
      </c>
      <c r="H25" s="3" t="inlineStr">
        <is>
          <t>PLAINTIFF ELI COHEN'S EXHIBIT LIST  271 -274</t>
        </is>
      </c>
      <c r="I25" s="3" t="inlineStr">
        <is>
          <t>PTY-ELI-COHEN</t>
        </is>
      </c>
    </row>
    <row r="26">
      <c r="A26" s="3" t="inlineStr">
        <is>
          <t>PTY-JEFF-ATLAS</t>
        </is>
      </c>
      <c r="B26" s="3" t="inlineStr">
        <is>
          <t>Jeff Atlas</t>
        </is>
      </c>
      <c r="C26" s="3" t="inlineStr">
        <is>
          <t>Party</t>
        </is>
      </c>
      <c r="D26" s="3" t="inlineStr">
        <is>
          <t>ROA_SPINE</t>
        </is>
      </c>
      <c r="E26" s="3" t="inlineStr">
        <is>
          <t>YES</t>
        </is>
      </c>
      <c r="F26" s="3" t="inlineStr"/>
      <c r="G26" s="3" t="inlineStr">
        <is>
          <t>DOC-ROA-TXT@L679</t>
        </is>
      </c>
      <c r="H26" s="3" t="inlineStr">
        <is>
          <t>Plmntift ELI COHEN, anindividual, suesDefendants,JEFF ATLAS~ an individual,and SUSAN ATLAS, m1 individual,and alleges as follows: JURISDIC'J</t>
        </is>
      </c>
      <c r="I26" s="3" t="inlineStr">
        <is>
          <t>PTY-JEFF-ATLAS</t>
        </is>
      </c>
    </row>
    <row r="27">
      <c r="A27" s="3" t="inlineStr">
        <is>
          <t>PTY-SUSAN-ATLAS</t>
        </is>
      </c>
      <c r="B27" s="3" t="inlineStr">
        <is>
          <t>Susan Atlas</t>
        </is>
      </c>
      <c r="C27" s="3" t="inlineStr">
        <is>
          <t>Party</t>
        </is>
      </c>
      <c r="D27" s="3" t="inlineStr">
        <is>
          <t>ROA_SPINE</t>
        </is>
      </c>
      <c r="E27" s="3" t="inlineStr">
        <is>
          <t>YES</t>
        </is>
      </c>
      <c r="F27" s="3" t="inlineStr"/>
      <c r="G27" s="3" t="inlineStr">
        <is>
          <t>DOC-ROA-TXT@L155</t>
        </is>
      </c>
      <c r="H27" s="3" t="inlineStr">
        <is>
          <t>PLAINTIFF'S, ELI COHEN, MOTION FOR SUMMARY JUDGMENT AS TO ALL COUNTS AGAINST DEFENDANTS, JEFF AND SUSAN ATLAS  1,137-1,301</t>
        </is>
      </c>
      <c r="I27" s="3" t="inlineStr">
        <is>
          <t>PTY-SUSAN-ATLAS</t>
        </is>
      </c>
    </row>
    <row r="28">
      <c r="A28" s="3" t="inlineStr">
        <is>
          <t>2020-000746-CA-01</t>
        </is>
      </c>
      <c r="B28" s="3" t="inlineStr">
        <is>
          <t>2020-000746-CA-01</t>
        </is>
      </c>
      <c r="C28" s="3" t="inlineStr">
        <is>
          <t>Case</t>
        </is>
      </c>
      <c r="D28" s="3" t="inlineStr">
        <is>
          <t>ROA_SPINE</t>
        </is>
      </c>
      <c r="E28" s="3" t="inlineStr">
        <is>
          <t>YES</t>
        </is>
      </c>
      <c r="F28" s="3" t="inlineStr">
        <is>
          <t>Circuit Court case; Contract &amp; Indebtedness</t>
        </is>
      </c>
      <c r="G28" s="3" t="inlineStr"/>
      <c r="H28" s="3" t="inlineStr"/>
      <c r="I28" s="3" t="inlineStr">
        <is>
          <t>2020-000746-CA-01</t>
        </is>
      </c>
    </row>
    <row r="29">
      <c r="A29" s="3" t="inlineStr">
        <is>
          <t>2018-011311-CC-05</t>
        </is>
      </c>
      <c r="B29" s="3" t="inlineStr">
        <is>
          <t>2018-011311-CC-05</t>
        </is>
      </c>
      <c r="C29" s="3" t="inlineStr">
        <is>
          <t>Entity</t>
        </is>
      </c>
      <c r="D29" s="3" t="inlineStr">
        <is>
          <t>ROA_SPINE</t>
        </is>
      </c>
      <c r="E29" s="3" t="inlineStr">
        <is>
          <t>YES</t>
        </is>
      </c>
      <c r="F29" s="3" t="inlineStr"/>
      <c r="G29" s="3" t="inlineStr"/>
      <c r="H29" s="3" t="inlineStr"/>
      <c r="I29" s="3" t="inlineStr">
        <is>
          <t>2018-011311-CC-05</t>
        </is>
      </c>
    </row>
    <row r="30">
      <c r="A30" s="3" t="inlineStr">
        <is>
          <t>3D25-1676</t>
        </is>
      </c>
      <c r="B30" s="3" t="inlineStr">
        <is>
          <t>3D25-1676</t>
        </is>
      </c>
      <c r="C30" s="3" t="inlineStr">
        <is>
          <t>Appeal</t>
        </is>
      </c>
      <c r="D30" s="3" t="inlineStr">
        <is>
          <t>ROA_SPINE</t>
        </is>
      </c>
      <c r="E30" s="3" t="inlineStr">
        <is>
          <t>YES</t>
        </is>
      </c>
      <c r="F30" s="3" t="inlineStr">
        <is>
          <t>Third DCA Appeal</t>
        </is>
      </c>
      <c r="G30" s="3" t="inlineStr"/>
      <c r="H30" s="3" t="inlineStr"/>
      <c r="I30" s="3" t="inlineStr">
        <is>
          <t>3D25-1676</t>
        </is>
      </c>
    </row>
    <row r="31">
      <c r="A31" s="3" t="inlineStr">
        <is>
          <t>ELI_COHEN</t>
        </is>
      </c>
      <c r="B31" s="3" t="inlineStr">
        <is>
          <t>ELI COHEN</t>
        </is>
      </c>
      <c r="C31" s="3" t="inlineStr">
        <is>
          <t>Party</t>
        </is>
      </c>
      <c r="D31" s="3" t="inlineStr">
        <is>
          <t>ROA_SPINE</t>
        </is>
      </c>
      <c r="E31" s="3" t="inlineStr">
        <is>
          <t>YES</t>
        </is>
      </c>
      <c r="F31" s="3" t="inlineStr">
        <is>
          <t>Plaintiff / Appellant</t>
        </is>
      </c>
      <c r="G31" s="3" t="inlineStr"/>
      <c r="H31" s="3" t="inlineStr"/>
      <c r="I31" s="3" t="inlineStr">
        <is>
          <t>ELI_COHEN</t>
        </is>
      </c>
    </row>
    <row r="32">
      <c r="A32" s="3" t="inlineStr">
        <is>
          <t>JEFF_ATLAS</t>
        </is>
      </c>
      <c r="B32" s="3" t="inlineStr">
        <is>
          <t>JEFF ATLAS</t>
        </is>
      </c>
      <c r="C32" s="3" t="inlineStr">
        <is>
          <t>Party</t>
        </is>
      </c>
      <c r="D32" s="3" t="inlineStr">
        <is>
          <t>ROA_SPINE</t>
        </is>
      </c>
      <c r="E32" s="3" t="inlineStr">
        <is>
          <t>YES</t>
        </is>
      </c>
      <c r="F32" s="3" t="inlineStr">
        <is>
          <t>Defendant / Appellee</t>
        </is>
      </c>
      <c r="G32" s="3" t="inlineStr"/>
      <c r="H32" s="3" t="inlineStr"/>
      <c r="I32" s="3" t="inlineStr">
        <is>
          <t>JEFF_ATLAS</t>
        </is>
      </c>
    </row>
    <row r="33">
      <c r="A33" s="3" t="inlineStr">
        <is>
          <t>SUSAN_ATLAS</t>
        </is>
      </c>
      <c r="B33" s="3" t="inlineStr">
        <is>
          <t>SUSAN ATLAS</t>
        </is>
      </c>
      <c r="C33" s="3" t="inlineStr">
        <is>
          <t>Party</t>
        </is>
      </c>
      <c r="D33" s="3" t="inlineStr">
        <is>
          <t>ROA_SPINE</t>
        </is>
      </c>
      <c r="E33" s="3" t="inlineStr">
        <is>
          <t>YES</t>
        </is>
      </c>
      <c r="F33" s="3" t="inlineStr">
        <is>
          <t>Defendant / Appellee</t>
        </is>
      </c>
      <c r="G33" s="3" t="inlineStr"/>
      <c r="H33" s="3" t="inlineStr"/>
      <c r="I33" s="3" t="inlineStr">
        <is>
          <t>SUSAN_ATLAS</t>
        </is>
      </c>
    </row>
    <row r="34">
      <c r="A34" s="3" t="inlineStr">
        <is>
          <t>HABER_LAW_LLP</t>
        </is>
      </c>
      <c r="B34" s="3" t="inlineStr">
        <is>
          <t>HABER LAW, LLP</t>
        </is>
      </c>
      <c r="C34" s="3" t="inlineStr">
        <is>
          <t>Law Firm</t>
        </is>
      </c>
      <c r="D34" s="3" t="inlineStr">
        <is>
          <t>ROA_SPINE</t>
        </is>
      </c>
      <c r="E34" s="3" t="inlineStr">
        <is>
          <t>YES</t>
        </is>
      </c>
      <c r="F34" s="3" t="inlineStr">
        <is>
          <t>Plaintiff's counsel</t>
        </is>
      </c>
      <c r="G34" s="3" t="inlineStr"/>
      <c r="H34" s="3" t="inlineStr"/>
      <c r="I34" s="3" t="inlineStr">
        <is>
          <t>HABER_LAW_LLP</t>
        </is>
      </c>
    </row>
    <row r="35">
      <c r="A35" s="3" t="inlineStr">
        <is>
          <t>Ariella_J_Gutman</t>
        </is>
      </c>
      <c r="B35" s="3" t="inlineStr">
        <is>
          <t>Ariella J. Gutman</t>
        </is>
      </c>
      <c r="C35" s="3" t="inlineStr">
        <is>
          <t>Attorney</t>
        </is>
      </c>
      <c r="D35" s="3" t="inlineStr">
        <is>
          <t>ROA_SPINE</t>
        </is>
      </c>
      <c r="E35" s="3" t="inlineStr">
        <is>
          <t>YES</t>
        </is>
      </c>
      <c r="F35" s="3" t="inlineStr">
        <is>
          <t>Partner at Haber Law; Florida Bar No. 91447</t>
        </is>
      </c>
      <c r="G35" s="3" t="inlineStr"/>
      <c r="H35" s="3" t="inlineStr"/>
      <c r="I35" s="3" t="inlineStr">
        <is>
          <t>Ariella_J_Gutman</t>
        </is>
      </c>
    </row>
    <row r="36">
      <c r="A36" s="3" t="inlineStr">
        <is>
          <t>Simone_M_Honeygan</t>
        </is>
      </c>
      <c r="B36" s="3" t="inlineStr">
        <is>
          <t>Simone M. Honeygan</t>
        </is>
      </c>
      <c r="C36" s="3" t="inlineStr">
        <is>
          <t>Attorney</t>
        </is>
      </c>
      <c r="D36" s="3" t="inlineStr">
        <is>
          <t>ROA_SPINE</t>
        </is>
      </c>
      <c r="E36" s="3" t="inlineStr">
        <is>
          <t>YES</t>
        </is>
      </c>
      <c r="F36" s="3" t="inlineStr">
        <is>
          <t>Associate at Haber Law; Florida Bar No. 1026030</t>
        </is>
      </c>
      <c r="G36" s="3" t="inlineStr"/>
      <c r="H36" s="3" t="inlineStr"/>
      <c r="I36" s="3" t="inlineStr">
        <is>
          <t>Simone_M_Honeygan</t>
        </is>
      </c>
    </row>
    <row r="37">
      <c r="A37" s="3" t="inlineStr">
        <is>
          <t>David_B_Haber</t>
        </is>
      </c>
      <c r="B37" s="3" t="inlineStr">
        <is>
          <t>David B. Haber</t>
        </is>
      </c>
      <c r="C37" s="3" t="inlineStr">
        <is>
          <t>Attorney</t>
        </is>
      </c>
      <c r="D37" s="3" t="inlineStr">
        <is>
          <t>ROA_SPINE</t>
        </is>
      </c>
      <c r="E37" s="3" t="inlineStr">
        <is>
          <t>YES</t>
        </is>
      </c>
      <c r="F37" s="3" t="inlineStr">
        <is>
          <t>Senior Partner at Haber Law</t>
        </is>
      </c>
      <c r="G37" s="3" t="inlineStr"/>
      <c r="H37" s="3" t="inlineStr"/>
      <c r="I37" s="3" t="inlineStr">
        <is>
          <t>David_B_Haber</t>
        </is>
      </c>
    </row>
    <row r="38">
      <c r="A38" s="3" t="inlineStr">
        <is>
          <t>Thomas_Butler</t>
        </is>
      </c>
      <c r="B38" s="3" t="inlineStr">
        <is>
          <t>Thomas Butler</t>
        </is>
      </c>
      <c r="C38" s="3" t="inlineStr">
        <is>
          <t>Attorney</t>
        </is>
      </c>
      <c r="D38" s="3" t="inlineStr">
        <is>
          <t>ROA_SPINE</t>
        </is>
      </c>
      <c r="E38" s="3" t="inlineStr">
        <is>
          <t>YES</t>
        </is>
      </c>
      <c r="F38" s="3" t="inlineStr">
        <is>
          <t>Former counsel for Defendants; Bar #569178</t>
        </is>
      </c>
      <c r="G38" s="3" t="inlineStr"/>
      <c r="H38" s="3" t="inlineStr"/>
      <c r="I38" s="3" t="inlineStr">
        <is>
          <t>Thomas_Butler</t>
        </is>
      </c>
    </row>
    <row r="39">
      <c r="A39" s="3" t="inlineStr">
        <is>
          <t>Judge_Reemberto_Diaz</t>
        </is>
      </c>
      <c r="B39" s="3" t="inlineStr">
        <is>
          <t>Judge Reemberto Diaz</t>
        </is>
      </c>
      <c r="C39" s="3" t="inlineStr">
        <is>
          <t>Judge</t>
        </is>
      </c>
      <c r="D39" s="3" t="inlineStr">
        <is>
          <t>ROA_SPINE</t>
        </is>
      </c>
      <c r="E39" s="3" t="inlineStr">
        <is>
          <t>YES</t>
        </is>
      </c>
      <c r="F39" s="3" t="inlineStr">
        <is>
          <t>Presiding judge CA30; entered SFJ</t>
        </is>
      </c>
      <c r="G39" s="3" t="inlineStr"/>
      <c r="H39" s="3" t="inlineStr"/>
      <c r="I39" s="3" t="inlineStr">
        <is>
          <t>Judge_Reemberto_Diaz</t>
        </is>
      </c>
    </row>
    <row r="40">
      <c r="A40" s="3" t="inlineStr">
        <is>
          <t>Judge_Ruiz</t>
        </is>
      </c>
      <c r="B40" s="3" t="inlineStr">
        <is>
          <t>Judge Ruiz</t>
        </is>
      </c>
      <c r="C40" s="3" t="inlineStr">
        <is>
          <t>Judge</t>
        </is>
      </c>
      <c r="D40" s="3" t="inlineStr">
        <is>
          <t>ROA_SPINE</t>
        </is>
      </c>
      <c r="E40" s="3" t="inlineStr">
        <is>
          <t>YES</t>
        </is>
      </c>
      <c r="F40" s="3" t="inlineStr">
        <is>
          <t>Former presiding judge; disqualified 10/11/2024</t>
        </is>
      </c>
      <c r="G40" s="3" t="inlineStr"/>
      <c r="H40" s="3" t="inlineStr"/>
      <c r="I40" s="3" t="inlineStr">
        <is>
          <t>Judge_Ruiz</t>
        </is>
      </c>
    </row>
    <row r="41">
      <c r="A41" s="3" t="inlineStr">
        <is>
          <t>CIR-126</t>
        </is>
      </c>
      <c r="B41" s="3" t="inlineStr">
        <is>
          <t>CIR-126</t>
        </is>
      </c>
      <c r="C41" s="3" t="inlineStr">
        <is>
          <t>Entity</t>
        </is>
      </c>
      <c r="D41" s="3" t="inlineStr">
        <is>
          <t>ROA_SPINE</t>
        </is>
      </c>
      <c r="E41" s="3" t="inlineStr">
        <is>
          <t>YES</t>
        </is>
      </c>
      <c r="F41" s="3" t="inlineStr"/>
      <c r="G41" s="3" t="inlineStr"/>
      <c r="H41" s="3" t="inlineStr"/>
      <c r="I41" s="3" t="inlineStr">
        <is>
          <t>CIR-126</t>
        </is>
      </c>
    </row>
    <row r="42">
      <c r="A42" s="3" t="inlineStr">
        <is>
          <t>Judge_Del_Rio</t>
        </is>
      </c>
      <c r="B42" s="3" t="inlineStr">
        <is>
          <t>Judge Del Rio</t>
        </is>
      </c>
      <c r="C42" s="3" t="inlineStr">
        <is>
          <t>Judge</t>
        </is>
      </c>
      <c r="D42" s="3" t="inlineStr">
        <is>
          <t>ROA_SPINE</t>
        </is>
      </c>
      <c r="E42" s="3" t="inlineStr">
        <is>
          <t>YES</t>
        </is>
      </c>
      <c r="F42" s="3" t="inlineStr">
        <is>
          <t>Former presiding judge CA05; recused 01/17/2025</t>
        </is>
      </c>
      <c r="G42" s="3" t="inlineStr"/>
      <c r="H42" s="3" t="inlineStr"/>
      <c r="I42" s="3" t="inlineStr">
        <is>
          <t>Judge_Del_Rio</t>
        </is>
      </c>
    </row>
    <row r="43">
      <c r="A43" s="3" t="inlineStr">
        <is>
          <t>CIR-142</t>
        </is>
      </c>
      <c r="B43" s="3" t="inlineStr">
        <is>
          <t>CIR-142</t>
        </is>
      </c>
      <c r="C43" s="3" t="inlineStr">
        <is>
          <t>Entity</t>
        </is>
      </c>
      <c r="D43" s="3" t="inlineStr">
        <is>
          <t>ROA_SPINE</t>
        </is>
      </c>
      <c r="E43" s="3" t="inlineStr">
        <is>
          <t>YES</t>
        </is>
      </c>
      <c r="F43" s="3" t="inlineStr"/>
      <c r="G43" s="3" t="inlineStr"/>
      <c r="H43" s="3" t="inlineStr"/>
      <c r="I43" s="3" t="inlineStr">
        <is>
          <t>CIR-142</t>
        </is>
      </c>
    </row>
    <row r="44">
      <c r="A44" s="3" t="inlineStr">
        <is>
          <t>CIR-169/DIN169</t>
        </is>
      </c>
      <c r="B44" s="3" t="inlineStr">
        <is>
          <t>CIR-169 / DIN 169</t>
        </is>
      </c>
      <c r="C44" s="3" t="inlineStr">
        <is>
          <t>Judgment</t>
        </is>
      </c>
      <c r="D44" s="3" t="inlineStr">
        <is>
          <t>ROA_SPINE</t>
        </is>
      </c>
      <c r="E44" s="3" t="inlineStr">
        <is>
          <t>NO</t>
        </is>
      </c>
      <c r="F44" s="3" t="inlineStr">
        <is>
          <t>Summary Final Judgment</t>
        </is>
      </c>
      <c r="G44" s="3" t="inlineStr"/>
      <c r="H44" s="3" t="inlineStr"/>
      <c r="I44" s="3" t="inlineStr">
        <is>
          <t>DIN-169</t>
        </is>
      </c>
    </row>
    <row r="45">
      <c r="A45" s="3" t="inlineStr">
        <is>
          <t>I-SUMMARY</t>
        </is>
      </c>
      <c r="B45" s="3" t="inlineStr">
        <is>
          <t>I-SUMMARY</t>
        </is>
      </c>
      <c r="C45" s="3" t="inlineStr">
        <is>
          <t>Entity</t>
        </is>
      </c>
      <c r="D45" s="3" t="inlineStr">
        <is>
          <t>ROA_SPINE</t>
        </is>
      </c>
      <c r="E45" s="3" t="inlineStr">
        <is>
          <t>YES</t>
        </is>
      </c>
      <c r="F45" s="3" t="inlineStr"/>
      <c r="G45" s="3" t="inlineStr"/>
      <c r="H45" s="3" t="inlineStr"/>
      <c r="I45" s="3" t="inlineStr">
        <is>
          <t>I-SUMMARY</t>
        </is>
      </c>
    </row>
    <row r="46">
      <c r="A46" s="3" t="inlineStr">
        <is>
          <t>CIR-99/DIN99</t>
        </is>
      </c>
      <c r="B46" s="3" t="inlineStr">
        <is>
          <t>CIR-99 / DIN 99</t>
        </is>
      </c>
      <c r="C46" s="3" t="inlineStr">
        <is>
          <t>Motion</t>
        </is>
      </c>
      <c r="D46" s="3" t="inlineStr">
        <is>
          <t>ROA_SPINE</t>
        </is>
      </c>
      <c r="E46" s="3" t="inlineStr">
        <is>
          <t>NO</t>
        </is>
      </c>
      <c r="F46" s="3" t="inlineStr">
        <is>
          <t>Defendants Motion for Summary Judgment (first)</t>
        </is>
      </c>
      <c r="G46" s="3" t="inlineStr"/>
      <c r="H46" s="3" t="inlineStr"/>
      <c r="I46" s="3" t="inlineStr">
        <is>
          <t>DIN-99</t>
        </is>
      </c>
    </row>
    <row r="47">
      <c r="A47" s="3" t="inlineStr">
        <is>
          <t>CIR-109/DIN109</t>
        </is>
      </c>
      <c r="B47" s="3" t="inlineStr">
        <is>
          <t>CIR-109 / DIN 109</t>
        </is>
      </c>
      <c r="C47" s="3" t="inlineStr">
        <is>
          <t>Order</t>
        </is>
      </c>
      <c r="D47" s="3" t="inlineStr">
        <is>
          <t>ROA_SPINE</t>
        </is>
      </c>
      <c r="E47" s="3" t="inlineStr">
        <is>
          <t>NO</t>
        </is>
      </c>
      <c r="F47" s="3" t="inlineStr">
        <is>
          <t>Order Denying Defendants MSJ</t>
        </is>
      </c>
      <c r="G47" s="3" t="inlineStr"/>
      <c r="H47" s="3" t="inlineStr"/>
      <c r="I47" s="3" t="inlineStr">
        <is>
          <t>DIN-109</t>
        </is>
      </c>
    </row>
    <row r="48">
      <c r="A48" s="3" t="inlineStr">
        <is>
          <t>CIR-135/DIN135</t>
        </is>
      </c>
      <c r="B48" s="3" t="inlineStr">
        <is>
          <t>CIR-135 / DIN 135</t>
        </is>
      </c>
      <c r="C48" s="3" t="inlineStr">
        <is>
          <t>Motion</t>
        </is>
      </c>
      <c r="D48" s="3" t="inlineStr">
        <is>
          <t>ROA_SPINE</t>
        </is>
      </c>
      <c r="E48" s="3" t="inlineStr">
        <is>
          <t>NO</t>
        </is>
      </c>
      <c r="F48" s="3" t="inlineStr">
        <is>
          <t>Amended Renewed MSJ + Sanctions</t>
        </is>
      </c>
      <c r="G48" s="3" t="inlineStr"/>
      <c r="H48" s="3" t="inlineStr"/>
      <c r="I48" s="3" t="inlineStr">
        <is>
          <t>DIN-135</t>
        </is>
      </c>
    </row>
    <row r="49">
      <c r="A49" s="3" t="inlineStr">
        <is>
          <t>CIR-161/DIN161</t>
        </is>
      </c>
      <c r="B49" s="3" t="inlineStr">
        <is>
          <t>CIR-161 / DIN 161</t>
        </is>
      </c>
      <c r="C49" s="3" t="inlineStr">
        <is>
          <t>Order</t>
        </is>
      </c>
      <c r="D49" s="3" t="inlineStr">
        <is>
          <t>ROA_SPINE</t>
        </is>
      </c>
      <c r="E49" s="3" t="inlineStr">
        <is>
          <t>NO</t>
        </is>
      </c>
      <c r="F49" s="3" t="inlineStr">
        <is>
          <t>Order Denying Amended Renewed MSJ</t>
        </is>
      </c>
      <c r="G49" s="3" t="inlineStr"/>
      <c r="H49" s="3" t="inlineStr"/>
      <c r="I49" s="3" t="inlineStr">
        <is>
          <t>DIN-161</t>
        </is>
      </c>
    </row>
    <row r="50">
      <c r="A50" s="3" t="inlineStr">
        <is>
          <t>CIR-164/DIN164</t>
        </is>
      </c>
      <c r="B50" s="3" t="inlineStr">
        <is>
          <t>CIR-164 / DIN 164</t>
        </is>
      </c>
      <c r="C50" s="3" t="inlineStr">
        <is>
          <t>Motion</t>
        </is>
      </c>
      <c r="D50" s="3" t="inlineStr">
        <is>
          <t>ROA_SPINE</t>
        </is>
      </c>
      <c r="E50" s="3" t="inlineStr">
        <is>
          <t>NO</t>
        </is>
      </c>
      <c r="F50" s="3" t="inlineStr">
        <is>
          <t>Plaintiff Motion for Summary Judgment</t>
        </is>
      </c>
      <c r="G50" s="3" t="inlineStr"/>
      <c r="H50" s="3" t="inlineStr"/>
      <c r="I50" s="3" t="inlineStr">
        <is>
          <t>DIN-164</t>
        </is>
      </c>
    </row>
    <row r="51">
      <c r="A51" s="3" t="inlineStr">
        <is>
          <t>CIR-148/DIN148</t>
        </is>
      </c>
      <c r="B51" s="3" t="inlineStr">
        <is>
          <t>CIR-148 / DIN 148</t>
        </is>
      </c>
      <c r="C51" s="3" t="inlineStr">
        <is>
          <t>Reply</t>
        </is>
      </c>
      <c r="D51" s="3" t="inlineStr">
        <is>
          <t>ROA_SPINE</t>
        </is>
      </c>
      <c r="E51" s="3" t="inlineStr">
        <is>
          <t>NO</t>
        </is>
      </c>
      <c r="F51" s="3" t="inlineStr">
        <is>
          <t>Defendants Reply to Opposition</t>
        </is>
      </c>
      <c r="G51" s="3" t="inlineStr"/>
      <c r="H51" s="3" t="inlineStr"/>
      <c r="I51" s="3" t="inlineStr">
        <is>
          <t>DIN-148</t>
        </is>
      </c>
    </row>
    <row r="52">
      <c r="A52" s="3" t="inlineStr">
        <is>
          <t>CIR-151/DIN151</t>
        </is>
      </c>
      <c r="B52" s="3" t="inlineStr">
        <is>
          <t>CIR-151 / DIN 151</t>
        </is>
      </c>
      <c r="C52" s="3" t="inlineStr">
        <is>
          <t>Motion</t>
        </is>
      </c>
      <c r="D52" s="3" t="inlineStr">
        <is>
          <t>ROA_SPINE</t>
        </is>
      </c>
      <c r="E52" s="3" t="inlineStr">
        <is>
          <t>NO</t>
        </is>
      </c>
      <c r="F52" s="3" t="inlineStr">
        <is>
          <t>Motion for Mandatory Transfer to County</t>
        </is>
      </c>
      <c r="G52" s="3" t="inlineStr"/>
      <c r="H52" s="3" t="inlineStr"/>
      <c r="I52" s="3" t="inlineStr">
        <is>
          <t>DIN-151</t>
        </is>
      </c>
    </row>
    <row r="53">
      <c r="A53" s="3" t="inlineStr">
        <is>
          <t>CIR-158/DIN158</t>
        </is>
      </c>
      <c r="B53" s="3" t="inlineStr">
        <is>
          <t>CIR-158 / DIN 158</t>
        </is>
      </c>
      <c r="C53" s="3" t="inlineStr">
        <is>
          <t>Order</t>
        </is>
      </c>
      <c r="D53" s="3" t="inlineStr">
        <is>
          <t>ROA_SPINE</t>
        </is>
      </c>
      <c r="E53" s="3" t="inlineStr">
        <is>
          <t>NO</t>
        </is>
      </c>
      <c r="F53" s="3" t="inlineStr">
        <is>
          <t>Order Denying Mandatory Transfer</t>
        </is>
      </c>
      <c r="G53" s="3" t="inlineStr"/>
      <c r="H53" s="3" t="inlineStr"/>
      <c r="I53" s="3" t="inlineStr">
        <is>
          <t>DIN-158</t>
        </is>
      </c>
    </row>
    <row r="54">
      <c r="A54" s="3" t="inlineStr">
        <is>
          <t>CIR-170/DIN170</t>
        </is>
      </c>
      <c r="B54" s="3" t="inlineStr">
        <is>
          <t>CIR-170 / DIN 170</t>
        </is>
      </c>
      <c r="C54" s="3" t="inlineStr">
        <is>
          <t>Notice</t>
        </is>
      </c>
      <c r="D54" s="3" t="inlineStr">
        <is>
          <t>ROA_SPINE</t>
        </is>
      </c>
      <c r="E54" s="3" t="inlineStr">
        <is>
          <t>NO</t>
        </is>
      </c>
      <c r="F54" s="3" t="inlineStr">
        <is>
          <t>Notice of Appeal</t>
        </is>
      </c>
      <c r="G54" s="3" t="inlineStr"/>
      <c r="H54" s="3" t="inlineStr"/>
      <c r="I54" s="3" t="inlineStr">
        <is>
          <t>DIN-170</t>
        </is>
      </c>
    </row>
    <row r="55">
      <c r="A55" s="3" t="inlineStr">
        <is>
          <t>CIR-176/DIN176</t>
        </is>
      </c>
      <c r="B55" s="3" t="inlineStr">
        <is>
          <t>CIR-176 / DIN 176</t>
        </is>
      </c>
      <c r="C55" s="3" t="inlineStr">
        <is>
          <t>Order</t>
        </is>
      </c>
      <c r="D55" s="3" t="inlineStr">
        <is>
          <t>ROA_SPINE</t>
        </is>
      </c>
      <c r="E55" s="3" t="inlineStr">
        <is>
          <t>NO</t>
        </is>
      </c>
      <c r="F55" s="3" t="inlineStr">
        <is>
          <t>3rd DCA Order - Transcripts Non-Compliant</t>
        </is>
      </c>
      <c r="G55" s="3" t="inlineStr"/>
      <c r="H55" s="3" t="inlineStr"/>
      <c r="I55" s="3" t="inlineStr">
        <is>
          <t>DIN-176</t>
        </is>
      </c>
    </row>
    <row r="56">
      <c r="A56" s="3" t="inlineStr">
        <is>
          <t>CIR-178/DIN178</t>
        </is>
      </c>
      <c r="B56" s="3" t="inlineStr">
        <is>
          <t>CIR-178 / DIN 178</t>
        </is>
      </c>
      <c r="C56" s="3" t="inlineStr">
        <is>
          <t>Order</t>
        </is>
      </c>
      <c r="D56" s="3" t="inlineStr">
        <is>
          <t>ROA_SPINE</t>
        </is>
      </c>
      <c r="E56" s="3" t="inlineStr">
        <is>
          <t>NO</t>
        </is>
      </c>
      <c r="F56" s="3" t="inlineStr">
        <is>
          <t>3rd DCA Order Denying Stay</t>
        </is>
      </c>
      <c r="G56" s="3" t="inlineStr"/>
      <c r="H56" s="3" t="inlineStr"/>
      <c r="I56" s="3" t="inlineStr">
        <is>
          <t>DIN-178</t>
        </is>
      </c>
    </row>
    <row r="57">
      <c r="A57" s="3" t="inlineStr">
        <is>
          <t>E-SEC-01</t>
        </is>
      </c>
      <c r="B57" s="3" t="inlineStr">
        <is>
          <t>E-SEC-01</t>
        </is>
      </c>
      <c r="C57" s="3" t="inlineStr">
        <is>
          <t>Exhibit</t>
        </is>
      </c>
      <c r="D57" s="3" t="inlineStr">
        <is>
          <t>ROA_SPINE</t>
        </is>
      </c>
      <c r="E57" s="3" t="inlineStr">
        <is>
          <t>YES</t>
        </is>
      </c>
      <c r="F57" s="3" t="inlineStr">
        <is>
          <t>Notice of Intention to Impose Claim on Deposit</t>
        </is>
      </c>
      <c r="G57" s="3" t="inlineStr"/>
      <c r="H57" s="3" t="inlineStr"/>
      <c r="I57" s="3" t="inlineStr">
        <is>
          <t>E-SEC-01</t>
        </is>
      </c>
    </row>
    <row r="58">
      <c r="A58" s="3" t="inlineStr">
        <is>
          <t>E-MOLD-01</t>
        </is>
      </c>
      <c r="B58" s="3" t="inlineStr">
        <is>
          <t>E-MOLD-01</t>
        </is>
      </c>
      <c r="C58" s="3" t="inlineStr">
        <is>
          <t>Exhibit</t>
        </is>
      </c>
      <c r="D58" s="3" t="inlineStr">
        <is>
          <t>ROA_SPINE</t>
        </is>
      </c>
      <c r="E58" s="3" t="inlineStr">
        <is>
          <t>YES</t>
        </is>
      </c>
      <c r="F58" s="3" t="inlineStr">
        <is>
          <t>Miami Mold Specialist Letter</t>
        </is>
      </c>
      <c r="G58" s="3" t="inlineStr"/>
      <c r="H58" s="3" t="inlineStr"/>
      <c r="I58" s="3" t="inlineStr">
        <is>
          <t>E-MOLD-01</t>
        </is>
      </c>
    </row>
    <row r="59">
      <c r="A59" s="3" t="inlineStr">
        <is>
          <t>I-MAINT</t>
        </is>
      </c>
      <c r="B59" s="3" t="inlineStr">
        <is>
          <t>I-MAINT</t>
        </is>
      </c>
      <c r="C59" s="3" t="inlineStr">
        <is>
          <t>Entity</t>
        </is>
      </c>
      <c r="D59" s="3" t="inlineStr">
        <is>
          <t>ROA_SPINE</t>
        </is>
      </c>
      <c r="E59" s="3" t="inlineStr">
        <is>
          <t>YES</t>
        </is>
      </c>
      <c r="F59" s="3" t="inlineStr"/>
      <c r="G59" s="3" t="inlineStr"/>
      <c r="H59" s="3" t="inlineStr"/>
      <c r="I59" s="3" t="inlineStr">
        <is>
          <t>I-MAINT</t>
        </is>
      </c>
    </row>
    <row r="60">
      <c r="A60" s="3" t="inlineStr">
        <is>
          <t>E-WASH-01</t>
        </is>
      </c>
      <c r="B60" s="3" t="inlineStr">
        <is>
          <t>E-WASH-01</t>
        </is>
      </c>
      <c r="C60" s="3" t="inlineStr">
        <is>
          <t>Exhibit</t>
        </is>
      </c>
      <c r="D60" s="3" t="inlineStr">
        <is>
          <t>ROA_SPINE</t>
        </is>
      </c>
      <c r="E60" s="3" t="inlineStr">
        <is>
          <t>YES</t>
        </is>
      </c>
      <c r="F60" s="3" t="inlineStr">
        <is>
          <t>BrandsMart Washer/Dryer Receipt</t>
        </is>
      </c>
      <c r="G60" s="3" t="inlineStr"/>
      <c r="H60" s="3" t="inlineStr"/>
      <c r="I60" s="3" t="inlineStr">
        <is>
          <t>E-WASH-01</t>
        </is>
      </c>
    </row>
    <row r="61">
      <c r="A61" s="3" t="inlineStr">
        <is>
          <t>E-CHW-01</t>
        </is>
      </c>
      <c r="B61" s="3" t="inlineStr">
        <is>
          <t>E-CHW-01</t>
        </is>
      </c>
      <c r="C61" s="3" t="inlineStr">
        <is>
          <t>Exhibit</t>
        </is>
      </c>
      <c r="D61" s="3" t="inlineStr">
        <is>
          <t>ROA_SPINE</t>
        </is>
      </c>
      <c r="E61" s="3" t="inlineStr">
        <is>
          <t>YES</t>
        </is>
      </c>
      <c r="F61" s="3" t="inlineStr">
        <is>
          <t>Choice Home Warranty Contract + Logs</t>
        </is>
      </c>
      <c r="G61" s="3" t="inlineStr"/>
      <c r="H61" s="3" t="inlineStr"/>
      <c r="I61" s="3" t="inlineStr">
        <is>
          <t>E-CHW-01</t>
        </is>
      </c>
    </row>
    <row r="62">
      <c r="A62" s="3" t="inlineStr">
        <is>
          <t>I-MISREP</t>
        </is>
      </c>
      <c r="B62" s="3" t="inlineStr">
        <is>
          <t>I-MISREP</t>
        </is>
      </c>
      <c r="C62" s="3" t="inlineStr">
        <is>
          <t>Entity</t>
        </is>
      </c>
      <c r="D62" s="3" t="inlineStr">
        <is>
          <t>ROA_SPINE</t>
        </is>
      </c>
      <c r="E62" s="3" t="inlineStr">
        <is>
          <t>YES</t>
        </is>
      </c>
      <c r="F62" s="3" t="inlineStr"/>
      <c r="G62" s="3" t="inlineStr"/>
      <c r="H62" s="3" t="inlineStr"/>
      <c r="I62" s="3" t="inlineStr">
        <is>
          <t>I-MISREP</t>
        </is>
      </c>
    </row>
    <row r="63">
      <c r="A63" s="3" t="inlineStr">
        <is>
          <t>E-LEASE-01</t>
        </is>
      </c>
      <c r="B63" s="3" t="inlineStr">
        <is>
          <t>E-LEASE-01</t>
        </is>
      </c>
      <c r="C63" s="3" t="inlineStr">
        <is>
          <t>Exhibit</t>
        </is>
      </c>
      <c r="D63" s="3" t="inlineStr">
        <is>
          <t>ROA_SPINE</t>
        </is>
      </c>
      <c r="E63" s="3" t="inlineStr">
        <is>
          <t>YES</t>
        </is>
      </c>
      <c r="F63" s="3" t="inlineStr">
        <is>
          <t>Lease Agreement TH-A5</t>
        </is>
      </c>
      <c r="G63" s="3" t="inlineStr"/>
      <c r="H63" s="3" t="inlineStr"/>
      <c r="I63" s="3" t="inlineStr">
        <is>
          <t>E-LEASE-01</t>
        </is>
      </c>
    </row>
    <row r="64">
      <c r="A64" s="3" t="inlineStr">
        <is>
          <t>E-MURANO-01</t>
        </is>
      </c>
      <c r="B64" s="3" t="inlineStr">
        <is>
          <t>E-MURANO-01</t>
        </is>
      </c>
      <c r="C64" s="3" t="inlineStr">
        <is>
          <t>Exhibit</t>
        </is>
      </c>
      <c r="D64" s="3" t="inlineStr">
        <is>
          <t>ROA_SPINE</t>
        </is>
      </c>
      <c r="E64" s="3" t="inlineStr">
        <is>
          <t>YES</t>
        </is>
      </c>
      <c r="F64" s="3" t="inlineStr">
        <is>
          <t>Murano Rules &amp; Regulations</t>
        </is>
      </c>
      <c r="G64" s="3" t="inlineStr"/>
      <c r="H64" s="3" t="inlineStr"/>
      <c r="I64" s="3" t="inlineStr">
        <is>
          <t>E-MURANO-01</t>
        </is>
      </c>
    </row>
    <row r="65">
      <c r="A65" s="3" t="inlineStr">
        <is>
          <t>Police_Report_2019-00042552</t>
        </is>
      </c>
      <c r="B65" s="3" t="inlineStr">
        <is>
          <t>Police Report #2019-00042552</t>
        </is>
      </c>
      <c r="C65" s="3" t="inlineStr">
        <is>
          <t>Exhibit</t>
        </is>
      </c>
      <c r="D65" s="3" t="inlineStr">
        <is>
          <t>ROA_SPINE</t>
        </is>
      </c>
      <c r="E65" s="3" t="inlineStr">
        <is>
          <t>YES</t>
        </is>
      </c>
      <c r="F65" s="3" t="inlineStr">
        <is>
          <t>Referenced in Defendants Reply; spoliation evidence</t>
        </is>
      </c>
      <c r="G65" s="3" t="inlineStr"/>
      <c r="H65" s="3" t="inlineStr"/>
      <c r="I65" s="3" t="inlineStr">
        <is>
          <t>Police_Report_2019-00042552</t>
        </is>
      </c>
    </row>
    <row r="66">
      <c r="A66" s="3" t="inlineStr">
        <is>
          <t>Hearing_05_23_2024</t>
        </is>
      </c>
      <c r="B66" s="3" t="inlineStr">
        <is>
          <t>Hearing 05/23/2024</t>
        </is>
      </c>
      <c r="C66" s="3" t="inlineStr">
        <is>
          <t>Hearing</t>
        </is>
      </c>
      <c r="D66" s="3" t="inlineStr">
        <is>
          <t>ROA_SPINE</t>
        </is>
      </c>
      <c r="E66" s="3" t="inlineStr">
        <is>
          <t>YES</t>
        </is>
      </c>
      <c r="F66" s="3" t="inlineStr">
        <is>
          <t>Defendants MSJ hearing</t>
        </is>
      </c>
      <c r="G66" s="3" t="inlineStr"/>
      <c r="H66" s="3" t="inlineStr"/>
      <c r="I66" s="3" t="inlineStr">
        <is>
          <t>Hearing_05_23_2024</t>
        </is>
      </c>
    </row>
    <row r="67">
      <c r="A67" s="3" t="inlineStr">
        <is>
          <t>Hearing_03_13_2025</t>
        </is>
      </c>
      <c r="B67" s="3" t="inlineStr">
        <is>
          <t>Hearing 03/13/2025</t>
        </is>
      </c>
      <c r="C67" s="3" t="inlineStr">
        <is>
          <t>Hearing</t>
        </is>
      </c>
      <c r="D67" s="3" t="inlineStr">
        <is>
          <t>ROA_SPINE</t>
        </is>
      </c>
      <c r="E67" s="3" t="inlineStr">
        <is>
          <t>YES</t>
        </is>
      </c>
      <c r="F67" s="3" t="inlineStr">
        <is>
          <t>Transfer Motion hearing</t>
        </is>
      </c>
      <c r="G67" s="3" t="inlineStr"/>
      <c r="H67" s="3" t="inlineStr"/>
      <c r="I67" s="3" t="inlineStr">
        <is>
          <t>Hearing_03_13_2025</t>
        </is>
      </c>
    </row>
    <row r="68">
      <c r="A68" s="3" t="inlineStr">
        <is>
          <t>Hearing_07_21_2025</t>
        </is>
      </c>
      <c r="B68" s="3" t="inlineStr">
        <is>
          <t>Hearing 07/21/2025</t>
        </is>
      </c>
      <c r="C68" s="3" t="inlineStr">
        <is>
          <t>Hearing</t>
        </is>
      </c>
      <c r="D68" s="3" t="inlineStr">
        <is>
          <t>ROA_SPINE</t>
        </is>
      </c>
      <c r="E68" s="3" t="inlineStr">
        <is>
          <t>YES</t>
        </is>
      </c>
      <c r="F68" s="3" t="inlineStr">
        <is>
          <t>Special Set - SFJ hearing</t>
        </is>
      </c>
      <c r="G68" s="3" t="inlineStr"/>
      <c r="H68" s="3" t="inlineStr"/>
      <c r="I68" s="3" t="inlineStr">
        <is>
          <t>Hearing_07_21_2025</t>
        </is>
      </c>
    </row>
    <row r="69">
      <c r="A69" s="3" t="inlineStr">
        <is>
          <t>Mediation_11_01_2021</t>
        </is>
      </c>
      <c r="B69" s="3" t="inlineStr">
        <is>
          <t>Mediation 11/01/2021</t>
        </is>
      </c>
      <c r="C69" s="3" t="inlineStr">
        <is>
          <t>ADR</t>
        </is>
      </c>
      <c r="D69" s="3" t="inlineStr">
        <is>
          <t>ROA_SPINE</t>
        </is>
      </c>
      <c r="E69" s="3" t="inlineStr">
        <is>
          <t>YES</t>
        </is>
      </c>
      <c r="F69" s="3" t="inlineStr">
        <is>
          <t>Mediation conference; no agreement</t>
        </is>
      </c>
      <c r="G69" s="3" t="inlineStr"/>
      <c r="H69" s="3" t="inlineStr"/>
      <c r="I69" s="3" t="inlineStr">
        <is>
          <t>Mediation_11_01_2021</t>
        </is>
      </c>
    </row>
    <row r="70">
      <c r="A70" s="3" t="inlineStr">
        <is>
          <t>05_18_2018</t>
        </is>
      </c>
      <c r="B70" s="3" t="inlineStr">
        <is>
          <t>05/18/2018</t>
        </is>
      </c>
      <c r="C70" s="3" t="inlineStr">
        <is>
          <t>Date</t>
        </is>
      </c>
      <c r="D70" s="3" t="inlineStr">
        <is>
          <t>ROA_SPINE</t>
        </is>
      </c>
      <c r="E70" s="3" t="inlineStr">
        <is>
          <t>YES</t>
        </is>
      </c>
      <c r="F70" s="3" t="inlineStr">
        <is>
          <t>Original County filing</t>
        </is>
      </c>
      <c r="G70" s="3" t="inlineStr"/>
      <c r="H70" s="3" t="inlineStr"/>
      <c r="I70" s="3" t="inlineStr">
        <is>
          <t>05_18_2018</t>
        </is>
      </c>
    </row>
    <row r="71">
      <c r="A71" s="3" t="inlineStr">
        <is>
          <t>12_22_2017</t>
        </is>
      </c>
      <c r="B71" s="3" t="inlineStr">
        <is>
          <t>12/22/2017</t>
        </is>
      </c>
      <c r="C71" s="3" t="inlineStr">
        <is>
          <t>Date</t>
        </is>
      </c>
      <c r="D71" s="3" t="inlineStr">
        <is>
          <t>ROA_SPINE</t>
        </is>
      </c>
      <c r="E71" s="3" t="inlineStr">
        <is>
          <t>YES</t>
        </is>
      </c>
      <c r="F71" s="3" t="inlineStr">
        <is>
          <t>Lease execution</t>
        </is>
      </c>
      <c r="G71" s="3" t="inlineStr"/>
      <c r="H71" s="3" t="inlineStr"/>
      <c r="I71" s="3" t="inlineStr">
        <is>
          <t>12_22_2017</t>
        </is>
      </c>
    </row>
    <row r="72">
      <c r="A72" s="3" t="inlineStr">
        <is>
          <t>01_06_2018</t>
        </is>
      </c>
      <c r="B72" s="3" t="inlineStr">
        <is>
          <t>01/06/2018</t>
        </is>
      </c>
      <c r="C72" s="3" t="inlineStr">
        <is>
          <t>Date</t>
        </is>
      </c>
      <c r="D72" s="3" t="inlineStr">
        <is>
          <t>ROA_SPINE</t>
        </is>
      </c>
      <c r="E72" s="3" t="inlineStr">
        <is>
          <t>YES</t>
        </is>
      </c>
      <c r="F72" s="3" t="inlineStr">
        <is>
          <t>Security deposit notice</t>
        </is>
      </c>
      <c r="G72" s="3" t="inlineStr"/>
      <c r="H72" s="3" t="inlineStr"/>
      <c r="I72" s="3" t="inlineStr">
        <is>
          <t>01_06_2018</t>
        </is>
      </c>
    </row>
    <row r="73">
      <c r="A73" s="3" t="inlineStr">
        <is>
          <t>01_14_2020</t>
        </is>
      </c>
      <c r="B73" s="3" t="inlineStr">
        <is>
          <t>01/14/2020</t>
        </is>
      </c>
      <c r="C73" s="3" t="inlineStr">
        <is>
          <t>Date</t>
        </is>
      </c>
      <c r="D73" s="3" t="inlineStr">
        <is>
          <t>ROA_SPINE</t>
        </is>
      </c>
      <c r="E73" s="3" t="inlineStr">
        <is>
          <t>YES</t>
        </is>
      </c>
      <c r="F73" s="3" t="inlineStr">
        <is>
          <t>Circuit filing after transfer</t>
        </is>
      </c>
      <c r="G73" s="3" t="inlineStr"/>
      <c r="H73" s="3" t="inlineStr"/>
      <c r="I73" s="3" t="inlineStr">
        <is>
          <t>01_14_2020</t>
        </is>
      </c>
    </row>
    <row r="74">
      <c r="A74" s="3" t="inlineStr">
        <is>
          <t>08_02_2025</t>
        </is>
      </c>
      <c r="B74" s="3" t="inlineStr">
        <is>
          <t>08/02/2025</t>
        </is>
      </c>
      <c r="C74" s="3" t="inlineStr">
        <is>
          <t>Date</t>
        </is>
      </c>
      <c r="D74" s="3" t="inlineStr">
        <is>
          <t>ROA_SPINE</t>
        </is>
      </c>
      <c r="E74" s="3" t="inlineStr">
        <is>
          <t>YES</t>
        </is>
      </c>
      <c r="F74" s="3" t="inlineStr">
        <is>
          <t>Summary Final Judgment entered</t>
        </is>
      </c>
      <c r="G74" s="3" t="inlineStr"/>
      <c r="H74" s="3" t="inlineStr"/>
      <c r="I74" s="3" t="inlineStr">
        <is>
          <t>08_02_2025</t>
        </is>
      </c>
    </row>
    <row r="75">
      <c r="A75" s="3" t="inlineStr">
        <is>
          <t>09_02_2025</t>
        </is>
      </c>
      <c r="B75" s="3" t="inlineStr">
        <is>
          <t>09/02/2025</t>
        </is>
      </c>
      <c r="C75" s="3" t="inlineStr">
        <is>
          <t>Date</t>
        </is>
      </c>
      <c r="D75" s="3" t="inlineStr">
        <is>
          <t>ROA_SPINE</t>
        </is>
      </c>
      <c r="E75" s="3" t="inlineStr">
        <is>
          <t>YES</t>
        </is>
      </c>
      <c r="F75" s="3" t="inlineStr">
        <is>
          <t>Notice of Appeal filed</t>
        </is>
      </c>
      <c r="G75" s="3" t="inlineStr"/>
      <c r="H75" s="3" t="inlineStr"/>
      <c r="I75" s="3" t="inlineStr">
        <is>
          <t>09_02_2025</t>
        </is>
      </c>
    </row>
    <row r="76">
      <c r="A76" s="3" t="inlineStr">
        <is>
          <t>1272649</t>
        </is>
      </c>
      <c r="B76" s="3" t="inlineStr">
        <is>
          <t>$12,726.49</t>
        </is>
      </c>
      <c r="C76" s="3" t="inlineStr">
        <is>
          <t>Amount</t>
        </is>
      </c>
      <c r="D76" s="3" t="inlineStr">
        <is>
          <t>ROA_SPINE</t>
        </is>
      </c>
      <c r="E76" s="3" t="inlineStr">
        <is>
          <t>YES</t>
        </is>
      </c>
      <c r="F76" s="3" t="inlineStr">
        <is>
          <t>Plaintiff's judicial admission of damages</t>
        </is>
      </c>
      <c r="G76" s="3" t="inlineStr"/>
      <c r="H76" s="3" t="inlineStr"/>
      <c r="I76" s="3" t="inlineStr">
        <is>
          <t>1272649</t>
        </is>
      </c>
    </row>
    <row r="77">
      <c r="A77" s="3" t="inlineStr">
        <is>
          <t>I-JURIS</t>
        </is>
      </c>
      <c r="B77" s="3" t="inlineStr">
        <is>
          <t>I-JURIS</t>
        </is>
      </c>
      <c r="C77" s="3" t="inlineStr">
        <is>
          <t>Entity</t>
        </is>
      </c>
      <c r="D77" s="3" t="inlineStr">
        <is>
          <t>ROA_SPINE</t>
        </is>
      </c>
      <c r="E77" s="3" t="inlineStr">
        <is>
          <t>YES</t>
        </is>
      </c>
      <c r="F77" s="3" t="inlineStr"/>
      <c r="G77" s="3" t="inlineStr"/>
      <c r="H77" s="3" t="inlineStr"/>
      <c r="I77" s="3" t="inlineStr">
        <is>
          <t>I-JURIS</t>
        </is>
      </c>
    </row>
    <row r="78">
      <c r="A78" s="3" t="inlineStr">
        <is>
          <t>15000</t>
        </is>
      </c>
      <c r="B78" s="3" t="inlineStr">
        <is>
          <t>$15,000</t>
        </is>
      </c>
      <c r="C78" s="3" t="inlineStr">
        <is>
          <t>Threshold</t>
        </is>
      </c>
      <c r="D78" s="3" t="inlineStr">
        <is>
          <t>ROA_SPINE</t>
        </is>
      </c>
      <c r="E78" s="3" t="inlineStr">
        <is>
          <t>YES</t>
        </is>
      </c>
      <c r="F78" s="3" t="inlineStr">
        <is>
          <t>County Court jurisdictional limit</t>
        </is>
      </c>
      <c r="G78" s="3" t="inlineStr"/>
      <c r="H78" s="3" t="inlineStr"/>
      <c r="I78" s="3" t="inlineStr">
        <is>
          <t>15000</t>
        </is>
      </c>
    </row>
    <row r="79">
      <c r="A79" s="3" t="inlineStr">
        <is>
          <t>12562763</t>
        </is>
      </c>
      <c r="B79" s="3" t="inlineStr">
        <is>
          <t>$125,627.63</t>
        </is>
      </c>
      <c r="C79" s="3" t="inlineStr">
        <is>
          <t>Amount</t>
        </is>
      </c>
      <c r="D79" s="3" t="inlineStr">
        <is>
          <t>ROA_SPINE</t>
        </is>
      </c>
      <c r="E79" s="3" t="inlineStr">
        <is>
          <t>YES</t>
        </is>
      </c>
      <c r="F79" s="3" t="inlineStr">
        <is>
          <t>Fee request post-SFJ</t>
        </is>
      </c>
      <c r="G79" s="3" t="inlineStr"/>
      <c r="H79" s="3" t="inlineStr"/>
      <c r="I79" s="3" t="inlineStr">
        <is>
          <t>12562763</t>
        </is>
      </c>
    </row>
    <row r="80">
      <c r="A80" s="3" t="inlineStr">
        <is>
          <t>CIR-173/DIN173</t>
        </is>
      </c>
      <c r="B80" s="3" t="inlineStr">
        <is>
          <t>CIR-173 / DIN 173</t>
        </is>
      </c>
      <c r="C80" s="3" t="inlineStr">
        <is>
          <t>Entity</t>
        </is>
      </c>
      <c r="D80" s="3" t="inlineStr">
        <is>
          <t>ROA_SPINE</t>
        </is>
      </c>
      <c r="E80" s="3" t="inlineStr">
        <is>
          <t>NO</t>
        </is>
      </c>
      <c r="F80" s="3" t="inlineStr"/>
      <c r="G80" s="3" t="inlineStr"/>
      <c r="H80" s="3" t="inlineStr"/>
      <c r="I80" s="3" t="inlineStr">
        <is>
          <t>DIN-173</t>
        </is>
      </c>
    </row>
    <row r="81">
      <c r="A81" s="3" t="inlineStr">
        <is>
          <t>REPLY-A1</t>
        </is>
      </c>
      <c r="B81" s="3" t="inlineStr">
        <is>
          <t>REPLY-A1</t>
        </is>
      </c>
      <c r="C81" s="3" t="inlineStr">
        <is>
          <t>Motion_Assertion</t>
        </is>
      </c>
      <c r="D81" s="3" t="inlineStr">
        <is>
          <t>MOTION_ASSERTION</t>
        </is>
      </c>
      <c r="E81" s="3" t="inlineStr">
        <is>
          <t>YES</t>
        </is>
      </c>
      <c r="F81" s="3" t="inlineStr">
        <is>
          <t>Defendants argue Plaintiff fails Rule 1.510 burden</t>
        </is>
      </c>
      <c r="G81" s="3" t="inlineStr"/>
      <c r="H81" s="3" t="inlineStr"/>
      <c r="I81" s="3" t="inlineStr">
        <is>
          <t>REPLY-A1</t>
        </is>
      </c>
    </row>
    <row r="82">
      <c r="A82" s="3" t="inlineStr">
        <is>
          <t>Fla_R_Civ_P_1510</t>
        </is>
      </c>
      <c r="B82" s="3" t="inlineStr">
        <is>
          <t>Fla. R. Civ. P. 1.510</t>
        </is>
      </c>
      <c r="C82" s="3" t="inlineStr">
        <is>
          <t>Entity</t>
        </is>
      </c>
      <c r="D82" s="3" t="inlineStr">
        <is>
          <t>MOTION_ASSERTION</t>
        </is>
      </c>
      <c r="E82" s="3" t="inlineStr">
        <is>
          <t>YES</t>
        </is>
      </c>
      <c r="F82" s="3" t="inlineStr"/>
      <c r="G82" s="3" t="inlineStr"/>
      <c r="H82" s="3" t="inlineStr"/>
      <c r="I82" s="3" t="inlineStr">
        <is>
          <t>Fla_R_Civ_P_1510</t>
        </is>
      </c>
    </row>
    <row r="83">
      <c r="A83" s="3" t="inlineStr">
        <is>
          <t>REPLY-A2</t>
        </is>
      </c>
      <c r="B83" s="3" t="inlineStr">
        <is>
          <t>REPLY-A2</t>
        </is>
      </c>
      <c r="C83" s="3" t="inlineStr">
        <is>
          <t>Motion_Assertion</t>
        </is>
      </c>
      <c r="D83" s="3" t="inlineStr">
        <is>
          <t>MOTION_ASSERTION</t>
        </is>
      </c>
      <c r="E83" s="3" t="inlineStr">
        <is>
          <t>YES</t>
        </is>
      </c>
      <c r="F83" s="3" t="inlineStr">
        <is>
          <t>Defendants argue Plaintiff relies on improper support</t>
        </is>
      </c>
      <c r="G83" s="3" t="inlineStr"/>
      <c r="H83" s="3" t="inlineStr"/>
      <c r="I83" s="3" t="inlineStr">
        <is>
          <t>REPLY-A2</t>
        </is>
      </c>
    </row>
    <row r="84">
      <c r="A84" s="3" t="inlineStr">
        <is>
          <t>REPLY-A3</t>
        </is>
      </c>
      <c r="B84" s="3" t="inlineStr">
        <is>
          <t>REPLY-A3</t>
        </is>
      </c>
      <c r="C84" s="3" t="inlineStr">
        <is>
          <t>Motion_Assertion</t>
        </is>
      </c>
      <c r="D84" s="3" t="inlineStr">
        <is>
          <t>MOTION_ASSERTION</t>
        </is>
      </c>
      <c r="E84" s="3" t="inlineStr">
        <is>
          <t>YES</t>
        </is>
      </c>
      <c r="F84" s="3" t="inlineStr">
        <is>
          <t>Defendants argue renewed MSJ permitted under Florida law</t>
        </is>
      </c>
      <c r="G84" s="3" t="inlineStr"/>
      <c r="H84" s="3" t="inlineStr"/>
      <c r="I84" s="3" t="inlineStr">
        <is>
          <t>REPLY-A3</t>
        </is>
      </c>
    </row>
    <row r="85">
      <c r="A85" s="3" t="inlineStr">
        <is>
          <t>REPLY-A4</t>
        </is>
      </c>
      <c r="B85" s="3" t="inlineStr">
        <is>
          <t>REPLY-A4</t>
        </is>
      </c>
      <c r="C85" s="3" t="inlineStr">
        <is>
          <t>Motion_Assertion</t>
        </is>
      </c>
      <c r="D85" s="3" t="inlineStr">
        <is>
          <t>MOTION_ASSERTION</t>
        </is>
      </c>
      <c r="E85" s="3" t="inlineStr">
        <is>
          <t>YES</t>
        </is>
      </c>
      <c r="F85" s="3" t="inlineStr">
        <is>
          <t>Defendants argue prior rulings voidable after recusal</t>
        </is>
      </c>
      <c r="G85" s="3" t="inlineStr"/>
      <c r="H85" s="3" t="inlineStr"/>
      <c r="I85" s="3" t="inlineStr">
        <is>
          <t>REPLY-A4</t>
        </is>
      </c>
    </row>
    <row r="86">
      <c r="A86" s="3" t="inlineStr">
        <is>
          <t>Fla_R_Jud_Admin_2330h</t>
        </is>
      </c>
      <c r="B86" s="3" t="inlineStr">
        <is>
          <t>Fla. R. Jud. Admin. 2.330(h)</t>
        </is>
      </c>
      <c r="C86" s="3" t="inlineStr">
        <is>
          <t>Entity</t>
        </is>
      </c>
      <c r="D86" s="3" t="inlineStr">
        <is>
          <t>MOTION_ASSERTION</t>
        </is>
      </c>
      <c r="E86" s="3" t="inlineStr">
        <is>
          <t>YES</t>
        </is>
      </c>
      <c r="F86" s="3" t="inlineStr"/>
      <c r="G86" s="3" t="inlineStr"/>
      <c r="H86" s="3" t="inlineStr"/>
      <c r="I86" s="3" t="inlineStr">
        <is>
          <t>Fla_R_Jud_Admin_2330h</t>
        </is>
      </c>
    </row>
    <row r="87">
      <c r="A87" s="3" t="inlineStr">
        <is>
          <t>REPLY-A5</t>
        </is>
      </c>
      <c r="B87" s="3" t="inlineStr">
        <is>
          <t>REPLY-A5</t>
        </is>
      </c>
      <c r="C87" s="3" t="inlineStr">
        <is>
          <t>Motion_Assertion</t>
        </is>
      </c>
      <c r="D87" s="3" t="inlineStr">
        <is>
          <t>MOTION_ASSERTION</t>
        </is>
      </c>
      <c r="E87" s="3" t="inlineStr">
        <is>
          <t>YES</t>
        </is>
      </c>
      <c r="F87" s="3" t="inlineStr">
        <is>
          <t>Defendants argue spoliation occurred</t>
        </is>
      </c>
      <c r="G87" s="3" t="inlineStr"/>
      <c r="H87" s="3" t="inlineStr"/>
      <c r="I87" s="3" t="inlineStr">
        <is>
          <t>REPLY-A5</t>
        </is>
      </c>
    </row>
    <row r="88">
      <c r="A88" s="3" t="inlineStr">
        <is>
          <t>REPLY-A6</t>
        </is>
      </c>
      <c r="B88" s="3" t="inlineStr">
        <is>
          <t>REPLY-A6</t>
        </is>
      </c>
      <c r="C88" s="3" t="inlineStr">
        <is>
          <t>Motion_Assertion</t>
        </is>
      </c>
      <c r="D88" s="3" t="inlineStr">
        <is>
          <t>MOTION_ASSERTION</t>
        </is>
      </c>
      <c r="E88" s="3" t="inlineStr">
        <is>
          <t>YES</t>
        </is>
      </c>
      <c r="F88" s="3" t="inlineStr">
        <is>
          <t>Defendants argue washer/dryer could have been repaired</t>
        </is>
      </c>
      <c r="G88" s="3" t="inlineStr"/>
      <c r="H88" s="3" t="inlineStr"/>
      <c r="I88" s="3" t="inlineStr">
        <is>
          <t>REPLY-A6</t>
        </is>
      </c>
    </row>
    <row r="89">
      <c r="A89" s="3" t="inlineStr">
        <is>
          <t>REPLY-A7</t>
        </is>
      </c>
      <c r="B89" s="3" t="inlineStr">
        <is>
          <t>REPLY-A7</t>
        </is>
      </c>
      <c r="C89" s="3" t="inlineStr">
        <is>
          <t>Motion_Assertion</t>
        </is>
      </c>
      <c r="D89" s="3" t="inlineStr">
        <is>
          <t>MOTION_ASSERTION</t>
        </is>
      </c>
      <c r="E89" s="3" t="inlineStr">
        <is>
          <t>YES</t>
        </is>
      </c>
      <c r="F89" s="3" t="inlineStr">
        <is>
          <t>Defendants invoke Valcin adverse inference</t>
        </is>
      </c>
      <c r="G89" s="3" t="inlineStr"/>
      <c r="H89" s="3" t="inlineStr"/>
      <c r="I89" s="3" t="inlineStr">
        <is>
          <t>REPLY-A7</t>
        </is>
      </c>
    </row>
    <row r="90">
      <c r="A90" s="3" t="inlineStr">
        <is>
          <t>Public_Health_Trust_v_Valcin</t>
        </is>
      </c>
      <c r="B90" s="3" t="inlineStr">
        <is>
          <t>Public Health Trust v. Valcin</t>
        </is>
      </c>
      <c r="C90" s="3" t="inlineStr">
        <is>
          <t>Entity</t>
        </is>
      </c>
      <c r="D90" s="3" t="inlineStr">
        <is>
          <t>MOTION_ASSERTION</t>
        </is>
      </c>
      <c r="E90" s="3" t="inlineStr">
        <is>
          <t>YES</t>
        </is>
      </c>
      <c r="F90" s="3" t="inlineStr"/>
      <c r="G90" s="3" t="inlineStr"/>
      <c r="H90" s="3" t="inlineStr"/>
      <c r="I90" s="3" t="inlineStr">
        <is>
          <t>Public_Health_Trust_v_Valcin</t>
        </is>
      </c>
    </row>
    <row r="91">
      <c r="A91" s="3" t="inlineStr">
        <is>
          <t>REPLY-A8</t>
        </is>
      </c>
      <c r="B91" s="3" t="inlineStr">
        <is>
          <t>REPLY-A8</t>
        </is>
      </c>
      <c r="C91" s="3" t="inlineStr">
        <is>
          <t>Motion_Assertion</t>
        </is>
      </c>
      <c r="D91" s="3" t="inlineStr">
        <is>
          <t>MOTION_ASSERTION</t>
        </is>
      </c>
      <c r="E91" s="3" t="inlineStr">
        <is>
          <t>YES</t>
        </is>
      </c>
      <c r="F91" s="3" t="inlineStr">
        <is>
          <t>Defendants argue damages unverified</t>
        </is>
      </c>
      <c r="G91" s="3" t="inlineStr"/>
      <c r="H91" s="3" t="inlineStr"/>
      <c r="I91" s="3" t="inlineStr">
        <is>
          <t>REPLY-A8</t>
        </is>
      </c>
    </row>
    <row r="92">
      <c r="A92" s="3" t="inlineStr">
        <is>
          <t>REPLY-A9</t>
        </is>
      </c>
      <c r="B92" s="3" t="inlineStr">
        <is>
          <t>REPLY-A9</t>
        </is>
      </c>
      <c r="C92" s="3" t="inlineStr">
        <is>
          <t>Motion_Assertion</t>
        </is>
      </c>
      <c r="D92" s="3" t="inlineStr">
        <is>
          <t>MOTION_ASSERTION</t>
        </is>
      </c>
      <c r="E92" s="3" t="inlineStr">
        <is>
          <t>YES</t>
        </is>
      </c>
      <c r="F92" s="3" t="inlineStr">
        <is>
          <t>Defendants cite Miami Mold subpoenaed records</t>
        </is>
      </c>
      <c r="G92" s="3" t="inlineStr"/>
      <c r="H92" s="3" t="inlineStr"/>
      <c r="I92" s="3" t="inlineStr">
        <is>
          <t>REPLY-A9</t>
        </is>
      </c>
    </row>
    <row r="93">
      <c r="A93" s="3" t="inlineStr">
        <is>
          <t>REPLY-A10</t>
        </is>
      </c>
      <c r="B93" s="3" t="inlineStr">
        <is>
          <t>REPLY-A10</t>
        </is>
      </c>
      <c r="C93" s="3" t="inlineStr">
        <is>
          <t>Motion_Assertion</t>
        </is>
      </c>
      <c r="D93" s="3" t="inlineStr">
        <is>
          <t>MOTION_ASSERTION</t>
        </is>
      </c>
      <c r="E93" s="3" t="inlineStr">
        <is>
          <t>YES</t>
        </is>
      </c>
      <c r="F93" s="3" t="inlineStr">
        <is>
          <t>Defendants argue no causation established</t>
        </is>
      </c>
      <c r="G93" s="3" t="inlineStr"/>
      <c r="H93" s="3" t="inlineStr"/>
      <c r="I93" s="3" t="inlineStr">
        <is>
          <t>REPLY-A10</t>
        </is>
      </c>
    </row>
    <row r="94">
      <c r="A94" s="3" t="inlineStr">
        <is>
          <t>REPLY-A11</t>
        </is>
      </c>
      <c r="B94" s="3" t="inlineStr">
        <is>
          <t>REPLY-A11</t>
        </is>
      </c>
      <c r="C94" s="3" t="inlineStr">
        <is>
          <t>Motion_Assertion</t>
        </is>
      </c>
      <c r="D94" s="3" t="inlineStr">
        <is>
          <t>MOTION_ASSERTION</t>
        </is>
      </c>
      <c r="E94" s="3" t="inlineStr">
        <is>
          <t>YES</t>
        </is>
      </c>
      <c r="F94" s="3" t="inlineStr">
        <is>
          <t>Defendants argue lack of notice bars recovery</t>
        </is>
      </c>
      <c r="G94" s="3" t="inlineStr"/>
      <c r="H94" s="3" t="inlineStr"/>
      <c r="I94" s="3" t="inlineStr">
        <is>
          <t>REPLY-A11</t>
        </is>
      </c>
    </row>
    <row r="95">
      <c r="A95" s="3" t="inlineStr">
        <is>
          <t>REPLY-A12</t>
        </is>
      </c>
      <c r="B95" s="3" t="inlineStr">
        <is>
          <t>REPLY-A12</t>
        </is>
      </c>
      <c r="C95" s="3" t="inlineStr">
        <is>
          <t>Motion_Assertion</t>
        </is>
      </c>
      <c r="D95" s="3" t="inlineStr">
        <is>
          <t>MOTION_ASSERTION</t>
        </is>
      </c>
      <c r="E95" s="3" t="inlineStr">
        <is>
          <t>YES</t>
        </is>
      </c>
      <c r="F95" s="3" t="inlineStr">
        <is>
          <t>Defendants seek summary judgment as matter of law</t>
        </is>
      </c>
      <c r="G95" s="3" t="inlineStr"/>
      <c r="H95" s="3" t="inlineStr"/>
      <c r="I95" s="3" t="inlineStr">
        <is>
          <t>REPLY-A12</t>
        </is>
      </c>
    </row>
    <row r="96">
      <c r="A96" s="3" t="inlineStr">
        <is>
          <t>Def_Motion_Ex_11_Miami_Mold</t>
        </is>
      </c>
      <c r="B96" s="3" t="inlineStr">
        <is>
          <t>Def. Motion Ex. 11 (Miami Mold)</t>
        </is>
      </c>
      <c r="C96" s="3" t="inlineStr">
        <is>
          <t>Evidence_Reference</t>
        </is>
      </c>
      <c r="D96" s="3" t="inlineStr">
        <is>
          <t>MOTION_ASSERTION</t>
        </is>
      </c>
      <c r="E96" s="3" t="inlineStr">
        <is>
          <t>YES</t>
        </is>
      </c>
      <c r="F96" s="3" t="inlineStr">
        <is>
          <t>Subpoenaed contemporaneous records</t>
        </is>
      </c>
      <c r="G96" s="3" t="inlineStr"/>
      <c r="H96" s="3" t="inlineStr"/>
      <c r="I96" s="3" t="inlineStr">
        <is>
          <t>Def_Motion_Ex_11_Miami_Mold</t>
        </is>
      </c>
    </row>
    <row r="97">
      <c r="A97" s="3" t="inlineStr">
        <is>
          <t>Manufacturer_Warranty</t>
        </is>
      </c>
      <c r="B97" s="3" t="inlineStr">
        <is>
          <t>Manufacturer Warranty</t>
        </is>
      </c>
      <c r="C97" s="3" t="inlineStr">
        <is>
          <t>Evidence_Reference</t>
        </is>
      </c>
      <c r="D97" s="3" t="inlineStr">
        <is>
          <t>MOTION_ASSERTION</t>
        </is>
      </c>
      <c r="E97" s="3" t="inlineStr">
        <is>
          <t>YES</t>
        </is>
      </c>
      <c r="F97" s="3" t="inlineStr">
        <is>
          <t>Warranty on washer/dryer</t>
        </is>
      </c>
      <c r="G97" s="3" t="inlineStr"/>
      <c r="H97" s="3" t="inlineStr"/>
      <c r="I97" s="3" t="inlineStr">
        <is>
          <t>Manufacturer_Warranty</t>
        </is>
      </c>
    </row>
    <row r="98">
      <c r="A98" s="3" t="inlineStr">
        <is>
          <t>Public_Health_Trust_v_Valcin_507_So_2d_596_Fla_1987</t>
        </is>
      </c>
      <c r="B98" s="3" t="inlineStr">
        <is>
          <t>Public Health Trust v. Valcin, 507 So. 2d 596 (Fla. 1987)</t>
        </is>
      </c>
      <c r="C98" s="3" t="inlineStr">
        <is>
          <t>Case</t>
        </is>
      </c>
      <c r="D98" s="3" t="inlineStr">
        <is>
          <t>MOTION_ASSERTION</t>
        </is>
      </c>
      <c r="E98" s="3" t="inlineStr">
        <is>
          <t>YES</t>
        </is>
      </c>
      <c r="F98" s="3" t="inlineStr">
        <is>
          <t>Spoliation adverse inference doctrine</t>
        </is>
      </c>
      <c r="G98" s="3" t="inlineStr"/>
      <c r="H98" s="3" t="inlineStr"/>
      <c r="I98" s="3" t="inlineStr">
        <is>
          <t>Public_Health_Trust_v_Valcin_507_So_2d_596_Fla_1987</t>
        </is>
      </c>
    </row>
    <row r="99">
      <c r="A99" s="3" t="inlineStr">
        <is>
          <t>FOF-1</t>
        </is>
      </c>
      <c r="B99" s="3" t="inlineStr">
        <is>
          <t>FOF-1</t>
        </is>
      </c>
      <c r="C99" s="3" t="inlineStr">
        <is>
          <t>Court_Finding</t>
        </is>
      </c>
      <c r="D99" s="3" t="inlineStr">
        <is>
          <t>COURT_FINDING</t>
        </is>
      </c>
      <c r="E99" s="3" t="inlineStr">
        <is>
          <t>YES</t>
        </is>
      </c>
      <c r="F99" s="3" t="inlineStr">
        <is>
          <t>Lease executed; term 12/22/2017 to 12/21/2018</t>
        </is>
      </c>
      <c r="G99" s="3" t="inlineStr"/>
      <c r="H99" s="3" t="inlineStr"/>
      <c r="I99" s="3" t="inlineStr">
        <is>
          <t>FOF-1</t>
        </is>
      </c>
    </row>
    <row r="100">
      <c r="A100" s="3" t="inlineStr">
        <is>
          <t>FOF-2</t>
        </is>
      </c>
      <c r="B100" s="3" t="inlineStr">
        <is>
          <t>FOF-2</t>
        </is>
      </c>
      <c r="C100" s="3" t="inlineStr">
        <is>
          <t>Court_Finding</t>
        </is>
      </c>
      <c r="D100" s="3" t="inlineStr">
        <is>
          <t>COURT_FINDING</t>
        </is>
      </c>
      <c r="E100" s="3" t="inlineStr">
        <is>
          <t>YES</t>
        </is>
      </c>
      <c r="F100" s="3" t="inlineStr">
        <is>
          <t>Lease allocates tenant responsibility to 3 items only</t>
        </is>
      </c>
      <c r="G100" s="3" t="inlineStr"/>
      <c r="H100" s="3" t="inlineStr"/>
      <c r="I100" s="3" t="inlineStr">
        <is>
          <t>FOF-2</t>
        </is>
      </c>
    </row>
    <row r="101">
      <c r="A101" s="3" t="inlineStr">
        <is>
          <t>FOF-3</t>
        </is>
      </c>
      <c r="B101" s="3" t="inlineStr">
        <is>
          <t>FOF-3</t>
        </is>
      </c>
      <c r="C101" s="3" t="inlineStr">
        <is>
          <t>Court_Finding</t>
        </is>
      </c>
      <c r="D101" s="3" t="inlineStr">
        <is>
          <t>COURT_FINDING</t>
        </is>
      </c>
      <c r="E101" s="3" t="inlineStr">
        <is>
          <t>YES</t>
        </is>
      </c>
      <c r="F101" s="3" t="inlineStr">
        <is>
          <t>All other maintenance = Defendants' responsibility</t>
        </is>
      </c>
      <c r="G101" s="3" t="inlineStr"/>
      <c r="H101" s="3" t="inlineStr"/>
      <c r="I101" s="3" t="inlineStr">
        <is>
          <t>FOF-3</t>
        </is>
      </c>
    </row>
    <row r="102">
      <c r="A102" s="3" t="inlineStr">
        <is>
          <t>FOF-13</t>
        </is>
      </c>
      <c r="B102" s="3" t="inlineStr">
        <is>
          <t>FOF-13</t>
        </is>
      </c>
      <c r="C102" s="3" t="inlineStr">
        <is>
          <t>Court_Finding</t>
        </is>
      </c>
      <c r="D102" s="3" t="inlineStr">
        <is>
          <t>COURT_FINDING</t>
        </is>
      </c>
      <c r="E102" s="3" t="inlineStr">
        <is>
          <t>YES</t>
        </is>
      </c>
      <c r="F102" s="3" t="inlineStr">
        <is>
          <t>Plaintiff paid $2,026.49 for washer/dryer replacement</t>
        </is>
      </c>
      <c r="G102" s="3" t="inlineStr"/>
      <c r="H102" s="3" t="inlineStr"/>
      <c r="I102" s="3" t="inlineStr">
        <is>
          <t>FOF-13</t>
        </is>
      </c>
    </row>
    <row r="103">
      <c r="A103" s="3" t="inlineStr">
        <is>
          <t>FOF-14</t>
        </is>
      </c>
      <c r="B103" s="3" t="inlineStr">
        <is>
          <t>FOF-14</t>
        </is>
      </c>
      <c r="C103" s="3" t="inlineStr">
        <is>
          <t>Court_Finding</t>
        </is>
      </c>
      <c r="D103" s="3" t="inlineStr">
        <is>
          <t>COURT_FINDING</t>
        </is>
      </c>
      <c r="E103" s="3" t="inlineStr">
        <is>
          <t>YES</t>
        </is>
      </c>
      <c r="F103" s="3" t="inlineStr">
        <is>
          <t>Plaintiff paid $6,500 for mold remediation</t>
        </is>
      </c>
      <c r="G103" s="3" t="inlineStr"/>
      <c r="H103" s="3" t="inlineStr"/>
      <c r="I103" s="3" t="inlineStr">
        <is>
          <t>FOF-14</t>
        </is>
      </c>
    </row>
    <row r="104">
      <c r="A104" s="3" t="inlineStr">
        <is>
          <t>FOF-16</t>
        </is>
      </c>
      <c r="B104" s="3" t="inlineStr">
        <is>
          <t>FOF-16</t>
        </is>
      </c>
      <c r="C104" s="3" t="inlineStr">
        <is>
          <t>Court_Finding</t>
        </is>
      </c>
      <c r="D104" s="3" t="inlineStr">
        <is>
          <t>COURT_FINDING</t>
        </is>
      </c>
      <c r="E104" s="3" t="inlineStr">
        <is>
          <t>YES</t>
        </is>
      </c>
      <c r="F104" s="3" t="inlineStr">
        <is>
          <t>Total damages = $8,526.49</t>
        </is>
      </c>
      <c r="G104" s="3" t="inlineStr"/>
      <c r="H104" s="3" t="inlineStr"/>
      <c r="I104" s="3" t="inlineStr">
        <is>
          <t>FOF-16</t>
        </is>
      </c>
    </row>
    <row r="105">
      <c r="A105" s="3" t="inlineStr">
        <is>
          <t>FOF-17</t>
        </is>
      </c>
      <c r="B105" s="3" t="inlineStr">
        <is>
          <t>FOF-17</t>
        </is>
      </c>
      <c r="C105" s="3" t="inlineStr">
        <is>
          <t>Court_Finding</t>
        </is>
      </c>
      <c r="D105" s="3" t="inlineStr">
        <is>
          <t>COURT_FINDING</t>
        </is>
      </c>
      <c r="E105" s="3" t="inlineStr">
        <is>
          <t>YES</t>
        </is>
      </c>
      <c r="F105" s="3" t="inlineStr">
        <is>
          <t>Plaintiff demanded return of $4,200 security deposit</t>
        </is>
      </c>
      <c r="G105" s="3" t="inlineStr"/>
      <c r="H105" s="3" t="inlineStr"/>
      <c r="I105" s="3" t="inlineStr">
        <is>
          <t>FOF-17</t>
        </is>
      </c>
    </row>
    <row r="106">
      <c r="A106" s="3" t="inlineStr">
        <is>
          <t>FOF-18</t>
        </is>
      </c>
      <c r="B106" s="3" t="inlineStr">
        <is>
          <t>FOF-18</t>
        </is>
      </c>
      <c r="C106" s="3" t="inlineStr">
        <is>
          <t>Court_Finding</t>
        </is>
      </c>
      <c r="D106" s="3" t="inlineStr">
        <is>
          <t>COURT_FINDING</t>
        </is>
      </c>
      <c r="E106" s="3" t="inlineStr">
        <is>
          <t>YES</t>
        </is>
      </c>
      <c r="F106" s="3" t="inlineStr">
        <is>
          <t>Defendants did NOT provide written notice within 30 days</t>
        </is>
      </c>
      <c r="G106" s="3" t="inlineStr"/>
      <c r="H106" s="3" t="inlineStr"/>
      <c r="I106" s="3" t="inlineStr">
        <is>
          <t>FOF-18</t>
        </is>
      </c>
    </row>
    <row r="107">
      <c r="A107" s="3" t="inlineStr">
        <is>
          <t>FOF-19</t>
        </is>
      </c>
      <c r="B107" s="3" t="inlineStr">
        <is>
          <t>FOF-19</t>
        </is>
      </c>
      <c r="C107" s="3" t="inlineStr">
        <is>
          <t>Court_Finding</t>
        </is>
      </c>
      <c r="D107" s="3" t="inlineStr">
        <is>
          <t>COURT_FINDING</t>
        </is>
      </c>
      <c r="E107" s="3" t="inlineStr">
        <is>
          <t>YES</t>
        </is>
      </c>
      <c r="F107" s="3" t="inlineStr">
        <is>
          <t>Defendants presented no evidence creating GMF</t>
        </is>
      </c>
      <c r="G107" s="3" t="inlineStr"/>
      <c r="H107" s="3" t="inlineStr"/>
      <c r="I107" s="3" t="inlineStr">
        <is>
          <t>FOF-19</t>
        </is>
      </c>
    </row>
    <row r="108">
      <c r="A108" s="3" t="inlineStr">
        <is>
          <t>COL-COUNT1</t>
        </is>
      </c>
      <c r="B108" s="3" t="inlineStr">
        <is>
          <t>COL-COUNT1</t>
        </is>
      </c>
      <c r="C108" s="3" t="inlineStr">
        <is>
          <t>Court_Conclusion</t>
        </is>
      </c>
      <c r="D108" s="3" t="inlineStr">
        <is>
          <t>COURT_FINDING</t>
        </is>
      </c>
      <c r="E108" s="3" t="inlineStr">
        <is>
          <t>YES</t>
        </is>
      </c>
      <c r="F108" s="3" t="inlineStr">
        <is>
          <t>Breach of Contract - Plaintiff prevails</t>
        </is>
      </c>
      <c r="G108" s="3" t="inlineStr"/>
      <c r="H108" s="3" t="inlineStr"/>
      <c r="I108" s="3" t="inlineStr">
        <is>
          <t>COL-COUNT1</t>
        </is>
      </c>
    </row>
    <row r="109">
      <c r="A109" s="3" t="inlineStr">
        <is>
          <t>COL-COUNT2</t>
        </is>
      </c>
      <c r="B109" s="3" t="inlineStr">
        <is>
          <t>COL-COUNT2</t>
        </is>
      </c>
      <c r="C109" s="3" t="inlineStr">
        <is>
          <t>Court_Conclusion</t>
        </is>
      </c>
      <c r="D109" s="3" t="inlineStr">
        <is>
          <t>COURT_FINDING</t>
        </is>
      </c>
      <c r="E109" s="3" t="inlineStr">
        <is>
          <t>YES</t>
        </is>
      </c>
      <c r="F109" s="3" t="inlineStr">
        <is>
          <t>Negligent Misrepresentation - Plaintiff prevails</t>
        </is>
      </c>
      <c r="G109" s="3" t="inlineStr"/>
      <c r="H109" s="3" t="inlineStr"/>
      <c r="I109" s="3" t="inlineStr">
        <is>
          <t>COL-COUNT2</t>
        </is>
      </c>
    </row>
    <row r="110">
      <c r="A110" s="3" t="inlineStr">
        <is>
          <t>COL-COUNT3</t>
        </is>
      </c>
      <c r="B110" s="3" t="inlineStr">
        <is>
          <t>COL-COUNT3</t>
        </is>
      </c>
      <c r="C110" s="3" t="inlineStr">
        <is>
          <t>Court_Conclusion</t>
        </is>
      </c>
      <c r="D110" s="3" t="inlineStr">
        <is>
          <t>COURT_FINDING</t>
        </is>
      </c>
      <c r="E110" s="3" t="inlineStr">
        <is>
          <t>YES</t>
        </is>
      </c>
      <c r="F110" s="3" t="inlineStr">
        <is>
          <t>Security Deposit - §83.49 violation; Plaintiff prevails</t>
        </is>
      </c>
      <c r="G110" s="3" t="inlineStr"/>
      <c r="H110" s="3" t="inlineStr"/>
      <c r="I110" s="3" t="inlineStr">
        <is>
          <t>COL-COUNT3</t>
        </is>
      </c>
    </row>
    <row r="111">
      <c r="A111" s="3" t="inlineStr">
        <is>
          <t>AD-1-REJECTED</t>
        </is>
      </c>
      <c r="B111" s="3" t="inlineStr">
        <is>
          <t>AD-1-REJECTED</t>
        </is>
      </c>
      <c r="C111" s="3" t="inlineStr">
        <is>
          <t>Court_Ruling</t>
        </is>
      </c>
      <c r="D111" s="3" t="inlineStr">
        <is>
          <t>COURT_FINDING</t>
        </is>
      </c>
      <c r="E111" s="3" t="inlineStr">
        <is>
          <t>YES</t>
        </is>
      </c>
      <c r="F111" s="3" t="inlineStr">
        <is>
          <t>Condo Rules defense - inapplicable</t>
        </is>
      </c>
      <c r="G111" s="3" t="inlineStr"/>
      <c r="H111" s="3" t="inlineStr"/>
      <c r="I111" s="3" t="inlineStr">
        <is>
          <t>AD-1-REJECTED</t>
        </is>
      </c>
    </row>
    <row r="112">
      <c r="A112" s="3" t="inlineStr">
        <is>
          <t>AD-2-REJECTED</t>
        </is>
      </c>
      <c r="B112" s="3" t="inlineStr">
        <is>
          <t>AD-2-REJECTED</t>
        </is>
      </c>
      <c r="C112" s="3" t="inlineStr">
        <is>
          <t>Court_Ruling</t>
        </is>
      </c>
      <c r="D112" s="3" t="inlineStr">
        <is>
          <t>COURT_FINDING</t>
        </is>
      </c>
      <c r="E112" s="3" t="inlineStr">
        <is>
          <t>YES</t>
        </is>
      </c>
      <c r="F112" s="3" t="inlineStr">
        <is>
          <t>Failure to Mitigate - rejected</t>
        </is>
      </c>
      <c r="G112" s="3" t="inlineStr"/>
      <c r="H112" s="3" t="inlineStr"/>
      <c r="I112" s="3" t="inlineStr">
        <is>
          <t>AD-2-REJECTED</t>
        </is>
      </c>
    </row>
    <row r="113">
      <c r="A113" s="3" t="inlineStr">
        <is>
          <t>AD-3-REJECTED</t>
        </is>
      </c>
      <c r="B113" s="3" t="inlineStr">
        <is>
          <t>AD-3-REJECTED</t>
        </is>
      </c>
      <c r="C113" s="3" t="inlineStr">
        <is>
          <t>Court_Ruling</t>
        </is>
      </c>
      <c r="D113" s="3" t="inlineStr">
        <is>
          <t>COURT_FINDING</t>
        </is>
      </c>
      <c r="E113" s="3" t="inlineStr">
        <is>
          <t>YES</t>
        </is>
      </c>
      <c r="F113" s="3" t="inlineStr">
        <is>
          <t>Set-Off - no basis</t>
        </is>
      </c>
      <c r="G113" s="3" t="inlineStr"/>
      <c r="H113" s="3" t="inlineStr"/>
      <c r="I113" s="3" t="inlineStr">
        <is>
          <t>AD-3-REJECTED</t>
        </is>
      </c>
    </row>
    <row r="114">
      <c r="A114" s="3" t="inlineStr">
        <is>
          <t>AD-4-REJECTED</t>
        </is>
      </c>
      <c r="B114" s="3" t="inlineStr">
        <is>
          <t>AD-4-REJECTED</t>
        </is>
      </c>
      <c r="C114" s="3" t="inlineStr">
        <is>
          <t>Court_Ruling</t>
        </is>
      </c>
      <c r="D114" s="3" t="inlineStr">
        <is>
          <t>COURT_FINDING</t>
        </is>
      </c>
      <c r="E114" s="3" t="inlineStr">
        <is>
          <t>YES</t>
        </is>
      </c>
      <c r="F114" s="3" t="inlineStr">
        <is>
          <t>Spoliation - rejected; current condition irrelevant</t>
        </is>
      </c>
      <c r="G114" s="3" t="inlineStr"/>
      <c r="H114" s="3" t="inlineStr"/>
      <c r="I114" s="3" t="inlineStr">
        <is>
          <t>AD-4-REJECTED</t>
        </is>
      </c>
    </row>
    <row r="115">
      <c r="A115" s="3" t="inlineStr">
        <is>
          <t>AD-5-REJECTED</t>
        </is>
      </c>
      <c r="B115" s="3" t="inlineStr">
        <is>
          <t>AD-5-REJECTED</t>
        </is>
      </c>
      <c r="C115" s="3" t="inlineStr">
        <is>
          <t>Court_Ruling</t>
        </is>
      </c>
      <c r="D115" s="3" t="inlineStr">
        <is>
          <t>COURT_FINDING</t>
        </is>
      </c>
      <c r="E115" s="3" t="inlineStr">
        <is>
          <t>YES</t>
        </is>
      </c>
      <c r="F115" s="3" t="inlineStr">
        <is>
          <t>Failure to State Claim - rejected</t>
        </is>
      </c>
      <c r="G115" s="3" t="inlineStr"/>
      <c r="H115" s="3" t="inlineStr"/>
      <c r="I115" s="3" t="inlineStr">
        <is>
          <t>AD-5-REJECTED</t>
        </is>
      </c>
    </row>
    <row r="116">
      <c r="A116" s="3" t="inlineStr">
        <is>
          <t>AD-6-REJECTED</t>
        </is>
      </c>
      <c r="B116" s="3" t="inlineStr">
        <is>
          <t>AD-6-REJECTED</t>
        </is>
      </c>
      <c r="C116" s="3" t="inlineStr">
        <is>
          <t>Court_Ruling</t>
        </is>
      </c>
      <c r="D116" s="3" t="inlineStr">
        <is>
          <t>COURT_FINDING</t>
        </is>
      </c>
      <c r="E116" s="3" t="inlineStr">
        <is>
          <t>YES</t>
        </is>
      </c>
      <c r="F116" s="3" t="inlineStr">
        <is>
          <t>No Relief Under Lease - rejected; Defendants acted in bad faith</t>
        </is>
      </c>
      <c r="G116" s="3" t="inlineStr"/>
      <c r="H116" s="3" t="inlineStr"/>
      <c r="I116" s="3" t="inlineStr">
        <is>
          <t>AD-6-REJECTED</t>
        </is>
      </c>
    </row>
    <row r="117">
      <c r="A117" s="3" t="inlineStr">
        <is>
          <t>AD-7-REJECTED</t>
        </is>
      </c>
      <c r="B117" s="3" t="inlineStr">
        <is>
          <t>AD-7-REJECTED</t>
        </is>
      </c>
      <c r="C117" s="3" t="inlineStr">
        <is>
          <t>Court_Ruling</t>
        </is>
      </c>
      <c r="D117" s="3" t="inlineStr">
        <is>
          <t>COURT_FINDING</t>
        </is>
      </c>
      <c r="E117" s="3" t="inlineStr">
        <is>
          <t>YES</t>
        </is>
      </c>
      <c r="F117" s="3" t="inlineStr">
        <is>
          <t>Motion to Dismiss - not viable as defense</t>
        </is>
      </c>
      <c r="G117" s="3" t="inlineStr"/>
      <c r="H117" s="3" t="inlineStr"/>
      <c r="I117" s="3" t="inlineStr">
        <is>
          <t>AD-7-REJECTED</t>
        </is>
      </c>
    </row>
    <row r="118">
      <c r="A118" s="3" t="inlineStr">
        <is>
          <t>ORDER-1</t>
        </is>
      </c>
      <c r="B118" s="3" t="inlineStr">
        <is>
          <t>ORDER-1</t>
        </is>
      </c>
      <c r="C118" s="3" t="inlineStr">
        <is>
          <t>Court_Order</t>
        </is>
      </c>
      <c r="D118" s="3" t="inlineStr">
        <is>
          <t>COURT_FINDING</t>
        </is>
      </c>
      <c r="E118" s="3" t="inlineStr">
        <is>
          <t>YES</t>
        </is>
      </c>
      <c r="F118" s="3" t="inlineStr">
        <is>
          <t>MSJ GRANTED</t>
        </is>
      </c>
      <c r="G118" s="3" t="inlineStr"/>
      <c r="H118" s="3" t="inlineStr"/>
      <c r="I118" s="3" t="inlineStr">
        <is>
          <t>ORDER-1</t>
        </is>
      </c>
    </row>
    <row r="119">
      <c r="A119" s="3" t="inlineStr">
        <is>
          <t>ORDER-2</t>
        </is>
      </c>
      <c r="B119" s="3" t="inlineStr">
        <is>
          <t>ORDER-2</t>
        </is>
      </c>
      <c r="C119" s="3" t="inlineStr">
        <is>
          <t>Court_Order</t>
        </is>
      </c>
      <c r="D119" s="3" t="inlineStr">
        <is>
          <t>COURT_FINDING</t>
        </is>
      </c>
      <c r="E119" s="3" t="inlineStr">
        <is>
          <t>YES</t>
        </is>
      </c>
      <c r="F119" s="3" t="inlineStr">
        <is>
          <t>Final Judgment for Plaintiff on all counts</t>
        </is>
      </c>
      <c r="G119" s="3" t="inlineStr"/>
      <c r="H119" s="3" t="inlineStr"/>
      <c r="I119" s="3" t="inlineStr">
        <is>
          <t>ORDER-2</t>
        </is>
      </c>
    </row>
    <row r="120">
      <c r="A120" s="3" t="inlineStr">
        <is>
          <t>ORDER-3</t>
        </is>
      </c>
      <c r="B120" s="3" t="inlineStr">
        <is>
          <t>ORDER-3</t>
        </is>
      </c>
      <c r="C120" s="3" t="inlineStr">
        <is>
          <t>Court_Order</t>
        </is>
      </c>
      <c r="D120" s="3" t="inlineStr">
        <is>
          <t>COURT_FINDING</t>
        </is>
      </c>
      <c r="E120" s="3" t="inlineStr">
        <is>
          <t>YES</t>
        </is>
      </c>
      <c r="F120" s="3" t="inlineStr">
        <is>
          <t>Fees entitled under Lease + §83.48</t>
        </is>
      </c>
      <c r="G120" s="3" t="inlineStr"/>
      <c r="H120" s="3" t="inlineStr"/>
      <c r="I120" s="3" t="inlineStr">
        <is>
          <t>ORDER-3</t>
        </is>
      </c>
    </row>
    <row r="121">
      <c r="A121" s="3" t="inlineStr">
        <is>
          <t>ORDER-4</t>
        </is>
      </c>
      <c r="B121" s="3" t="inlineStr">
        <is>
          <t>ORDER-4</t>
        </is>
      </c>
      <c r="C121" s="3" t="inlineStr">
        <is>
          <t>Court_Order</t>
        </is>
      </c>
      <c r="D121" s="3" t="inlineStr">
        <is>
          <t>COURT_FINDING</t>
        </is>
      </c>
      <c r="E121" s="3" t="inlineStr">
        <is>
          <t>YES</t>
        </is>
      </c>
      <c r="F121" s="3" t="inlineStr">
        <is>
          <t>Jurisdiction reserved for damages/fees determination</t>
        </is>
      </c>
      <c r="G121" s="3" t="inlineStr"/>
      <c r="H121" s="3" t="inlineStr"/>
      <c r="I121" s="3" t="inlineStr">
        <is>
          <t>ORDER-4</t>
        </is>
      </c>
    </row>
    <row r="122">
      <c r="A122" s="3" t="inlineStr">
        <is>
          <t>Peoples_Trust_Ins_Co_v_Valentin_305_So_3d_324_Fla_3d_DCA_2020</t>
        </is>
      </c>
      <c r="B122" s="3" t="inlineStr">
        <is>
          <t>People's Trust Ins. Co. v. Valentin, 305 So. 3d 324 (Fla. 3d DCA 2020)</t>
        </is>
      </c>
      <c r="C122" s="3" t="inlineStr">
        <is>
          <t>Case</t>
        </is>
      </c>
      <c r="D122" s="3" t="inlineStr">
        <is>
          <t>COURT_FINDING</t>
        </is>
      </c>
      <c r="E122" s="3" t="inlineStr">
        <is>
          <t>YES</t>
        </is>
      </c>
      <c r="F122" s="3" t="inlineStr">
        <is>
          <t>Breach of contract elements</t>
        </is>
      </c>
      <c r="G122" s="3" t="inlineStr"/>
      <c r="H122" s="3" t="inlineStr"/>
      <c r="I122" s="3" t="inlineStr">
        <is>
          <t>Peoples_Trust_Ins_Co_v_Valentin_305_So_3d_324_Fla_3d_DCA_2020</t>
        </is>
      </c>
    </row>
    <row r="123">
      <c r="A123" s="3" t="inlineStr">
        <is>
          <t>Coral_Gables_Distribution_Inc_v_Milich_992_So_2d_302_Fla_3d_DCA_2008</t>
        </is>
      </c>
      <c r="B123" s="3" t="inlineStr">
        <is>
          <t>Coral Gables Distribution, Inc. v. Milich, 992 So. 2d 302 (Fla. 3d DCA 2008)</t>
        </is>
      </c>
      <c r="C123" s="3" t="inlineStr">
        <is>
          <t>Case</t>
        </is>
      </c>
      <c r="D123" s="3" t="inlineStr">
        <is>
          <t>COURT_FINDING</t>
        </is>
      </c>
      <c r="E123" s="3" t="inlineStr">
        <is>
          <t>YES</t>
        </is>
      </c>
      <c r="F123" s="3" t="inlineStr">
        <is>
          <t>Negligent misrepresentation elements</t>
        </is>
      </c>
      <c r="G123" s="3" t="inlineStr"/>
      <c r="H123" s="3" t="inlineStr"/>
      <c r="I123" s="3" t="inlineStr">
        <is>
          <t>Coral_Gables_Distribution_Inc_v_Milich_992_So_2d_302_Fla_3d_DCA_2008</t>
        </is>
      </c>
    </row>
    <row r="124">
      <c r="A124" s="3" t="inlineStr">
        <is>
          <t>Fla_Stat_83493</t>
        </is>
      </c>
      <c r="B124" s="3" t="inlineStr">
        <is>
          <t>Fla. Stat. § 83.49(3)</t>
        </is>
      </c>
      <c r="C124" s="3" t="inlineStr">
        <is>
          <t>Statute</t>
        </is>
      </c>
      <c r="D124" s="3" t="inlineStr">
        <is>
          <t>COURT_FINDING</t>
        </is>
      </c>
      <c r="E124" s="3" t="inlineStr">
        <is>
          <t>YES</t>
        </is>
      </c>
      <c r="F124" s="3" t="inlineStr">
        <is>
          <t>Security deposit notice requirements</t>
        </is>
      </c>
      <c r="G124" s="3" t="inlineStr"/>
      <c r="H124" s="3" t="inlineStr"/>
      <c r="I124" s="3" t="inlineStr">
        <is>
          <t>Fla_Stat_83493</t>
        </is>
      </c>
    </row>
    <row r="125">
      <c r="A125" s="3" t="inlineStr">
        <is>
          <t>Wootton_v_Iron_Acquisitions_LLC_338_So_3d_425_Fla_2d_DCA_2022</t>
        </is>
      </c>
      <c r="B125" s="3" t="inlineStr">
        <is>
          <t>Wootton v. Iron Acquisitions, LLC, 338 So. 3d 425 (Fla. 2d DCA 2022)</t>
        </is>
      </c>
      <c r="C125" s="3" t="inlineStr">
        <is>
          <t>Case</t>
        </is>
      </c>
      <c r="D125" s="3" t="inlineStr">
        <is>
          <t>COURT_FINDING</t>
        </is>
      </c>
      <c r="E125" s="3" t="inlineStr">
        <is>
          <t>YES</t>
        </is>
      </c>
      <c r="F125" s="3" t="inlineStr">
        <is>
          <t>Strict compliance with §83.49 mandatory</t>
        </is>
      </c>
      <c r="G125" s="3" t="inlineStr"/>
      <c r="H125" s="3" t="inlineStr"/>
      <c r="I125" s="3" t="inlineStr">
        <is>
          <t>Wootton_v_Iron_Acquisitions_LLC_338_So_3d_425_Fla_2d_DCA_2022</t>
        </is>
      </c>
    </row>
    <row r="126">
      <c r="A126" s="3" t="inlineStr">
        <is>
          <t>Martinez_v_Rds_Point_Townhomes_Inc_393_So_3d_755_Fla_3d_DCA_2024</t>
        </is>
      </c>
      <c r="B126" s="3" t="inlineStr">
        <is>
          <t>Martinez v. Rds. Point Townhomes, Inc., 393 So. 3d 755 (Fla. 3d DCA 2024)</t>
        </is>
      </c>
      <c r="C126" s="3" t="inlineStr">
        <is>
          <t>Case</t>
        </is>
      </c>
      <c r="D126" s="3" t="inlineStr">
        <is>
          <t>COURT_FINDING</t>
        </is>
      </c>
      <c r="E126" s="3" t="inlineStr">
        <is>
          <t>YES</t>
        </is>
      </c>
      <c r="F126" s="3" t="inlineStr">
        <is>
          <t>30-day notice failure bars claim</t>
        </is>
      </c>
      <c r="G126" s="3" t="inlineStr"/>
      <c r="H126" s="3" t="inlineStr"/>
      <c r="I126" s="3" t="inlineStr">
        <is>
          <t>Martinez_v_Rds_Point_Townhomes_Inc_393_So_3d_755_Fla_3d_DCA_2024</t>
        </is>
      </c>
    </row>
    <row r="127">
      <c r="A127" s="3" t="inlineStr">
        <is>
          <t>CONTRADICTION-SECDEP</t>
        </is>
      </c>
      <c r="B127" s="3" t="inlineStr">
        <is>
          <t>CONTRADICTION-SECDEP</t>
        </is>
      </c>
      <c r="C127" s="3" t="inlineStr">
        <is>
          <t>Record_Conflict</t>
        </is>
      </c>
      <c r="D127" s="3" t="inlineStr">
        <is>
          <t>COURT_FINDING</t>
        </is>
      </c>
      <c r="E127" s="3" t="inlineStr">
        <is>
          <t>YES</t>
        </is>
      </c>
      <c r="F127" s="3" t="inlineStr">
        <is>
          <t>Court found no notice vs. E-SEC-01 dated 01/06/2018</t>
        </is>
      </c>
      <c r="G127" s="3" t="inlineStr"/>
      <c r="H127" s="3" t="inlineStr"/>
      <c r="I127" s="3" t="inlineStr">
        <is>
          <t>CONTRADICTION-SECDEP</t>
        </is>
      </c>
    </row>
    <row r="128">
      <c r="A128" s="3" t="inlineStr">
        <is>
          <t>DIN-169</t>
        </is>
      </c>
      <c r="B128" s="3" t="inlineStr">
        <is>
          <t>CIR-169 / DIN 169</t>
        </is>
      </c>
      <c r="C128" s="3" t="inlineStr">
        <is>
          <t>Docket_Item</t>
        </is>
      </c>
      <c r="D128" s="3" t="inlineStr">
        <is>
          <t>ROA_SPINE</t>
        </is>
      </c>
      <c r="E128" s="3" t="inlineStr">
        <is>
          <t>YES</t>
        </is>
      </c>
      <c r="F128" s="3" t="inlineStr"/>
      <c r="G128" s="3" t="inlineStr"/>
      <c r="H128" s="3" t="inlineStr"/>
      <c r="I128" s="3" t="inlineStr">
        <is>
          <t>DIN-169</t>
        </is>
      </c>
    </row>
    <row r="129">
      <c r="A129" s="3" t="inlineStr">
        <is>
          <t>DIN-99</t>
        </is>
      </c>
      <c r="B129" s="3" t="inlineStr">
        <is>
          <t>CIR-99 / DIN 99</t>
        </is>
      </c>
      <c r="C129" s="3" t="inlineStr">
        <is>
          <t>Docket_Item</t>
        </is>
      </c>
      <c r="D129" s="3" t="inlineStr">
        <is>
          <t>ROA_SPINE</t>
        </is>
      </c>
      <c r="E129" s="3" t="inlineStr">
        <is>
          <t>YES</t>
        </is>
      </c>
      <c r="F129" s="3" t="inlineStr"/>
      <c r="G129" s="3" t="inlineStr"/>
      <c r="H129" s="3" t="inlineStr"/>
      <c r="I129" s="3" t="inlineStr">
        <is>
          <t>DIN-99</t>
        </is>
      </c>
    </row>
    <row r="130">
      <c r="A130" s="3" t="inlineStr">
        <is>
          <t>DIN-109</t>
        </is>
      </c>
      <c r="B130" s="3" t="inlineStr">
        <is>
          <t>CIR-109 / DIN 109</t>
        </is>
      </c>
      <c r="C130" s="3" t="inlineStr">
        <is>
          <t>Docket_Item</t>
        </is>
      </c>
      <c r="D130" s="3" t="inlineStr">
        <is>
          <t>ROA_SPINE</t>
        </is>
      </c>
      <c r="E130" s="3" t="inlineStr">
        <is>
          <t>YES</t>
        </is>
      </c>
      <c r="F130" s="3" t="inlineStr"/>
      <c r="G130" s="3" t="inlineStr"/>
      <c r="H130" s="3" t="inlineStr"/>
      <c r="I130" s="3" t="inlineStr">
        <is>
          <t>DIN-109</t>
        </is>
      </c>
    </row>
    <row r="131">
      <c r="A131" s="3" t="inlineStr">
        <is>
          <t>DIN-135</t>
        </is>
      </c>
      <c r="B131" s="3" t="inlineStr">
        <is>
          <t>CIR-135 / DIN 135</t>
        </is>
      </c>
      <c r="C131" s="3" t="inlineStr">
        <is>
          <t>Docket_Item</t>
        </is>
      </c>
      <c r="D131" s="3" t="inlineStr">
        <is>
          <t>ROA_SPINE</t>
        </is>
      </c>
      <c r="E131" s="3" t="inlineStr">
        <is>
          <t>YES</t>
        </is>
      </c>
      <c r="F131" s="3" t="inlineStr"/>
      <c r="G131" s="3" t="inlineStr"/>
      <c r="H131" s="3" t="inlineStr"/>
      <c r="I131" s="3" t="inlineStr">
        <is>
          <t>DIN-135</t>
        </is>
      </c>
    </row>
    <row r="132">
      <c r="A132" s="3" t="inlineStr">
        <is>
          <t>DIN-161</t>
        </is>
      </c>
      <c r="B132" s="3" t="inlineStr">
        <is>
          <t>CIR-161 / DIN 161</t>
        </is>
      </c>
      <c r="C132" s="3" t="inlineStr">
        <is>
          <t>Docket_Item</t>
        </is>
      </c>
      <c r="D132" s="3" t="inlineStr">
        <is>
          <t>ROA_SPINE</t>
        </is>
      </c>
      <c r="E132" s="3" t="inlineStr">
        <is>
          <t>YES</t>
        </is>
      </c>
      <c r="F132" s="3" t="inlineStr"/>
      <c r="G132" s="3" t="inlineStr"/>
      <c r="H132" s="3" t="inlineStr"/>
      <c r="I132" s="3" t="inlineStr">
        <is>
          <t>DIN-161</t>
        </is>
      </c>
    </row>
    <row r="133">
      <c r="A133" s="3" t="inlineStr">
        <is>
          <t>DIN-164</t>
        </is>
      </c>
      <c r="B133" s="3" t="inlineStr">
        <is>
          <t>CIR-164 / DIN 164</t>
        </is>
      </c>
      <c r="C133" s="3" t="inlineStr">
        <is>
          <t>Docket_Item</t>
        </is>
      </c>
      <c r="D133" s="3" t="inlineStr">
        <is>
          <t>ROA_SPINE</t>
        </is>
      </c>
      <c r="E133" s="3" t="inlineStr">
        <is>
          <t>YES</t>
        </is>
      </c>
      <c r="F133" s="3" t="inlineStr"/>
      <c r="G133" s="3" t="inlineStr"/>
      <c r="H133" s="3" t="inlineStr"/>
      <c r="I133" s="3" t="inlineStr">
        <is>
          <t>DIN-164</t>
        </is>
      </c>
    </row>
    <row r="134">
      <c r="A134" s="3" t="inlineStr">
        <is>
          <t>DIN-148</t>
        </is>
      </c>
      <c r="B134" s="3" t="inlineStr">
        <is>
          <t>CIR-148 / DIN 148</t>
        </is>
      </c>
      <c r="C134" s="3" t="inlineStr">
        <is>
          <t>Docket_Item</t>
        </is>
      </c>
      <c r="D134" s="3" t="inlineStr">
        <is>
          <t>ROA_SPINE</t>
        </is>
      </c>
      <c r="E134" s="3" t="inlineStr">
        <is>
          <t>YES</t>
        </is>
      </c>
      <c r="F134" s="3" t="inlineStr"/>
      <c r="G134" s="3" t="inlineStr"/>
      <c r="H134" s="3" t="inlineStr"/>
      <c r="I134" s="3" t="inlineStr">
        <is>
          <t>DIN-148</t>
        </is>
      </c>
    </row>
    <row r="135">
      <c r="A135" s="3" t="inlineStr">
        <is>
          <t>DIN-151</t>
        </is>
      </c>
      <c r="B135" s="3" t="inlineStr">
        <is>
          <t>CIR-151 / DIN 151</t>
        </is>
      </c>
      <c r="C135" s="3" t="inlineStr">
        <is>
          <t>Docket_Item</t>
        </is>
      </c>
      <c r="D135" s="3" t="inlineStr">
        <is>
          <t>ROA_SPINE</t>
        </is>
      </c>
      <c r="E135" s="3" t="inlineStr">
        <is>
          <t>YES</t>
        </is>
      </c>
      <c r="F135" s="3" t="inlineStr"/>
      <c r="G135" s="3" t="inlineStr"/>
      <c r="H135" s="3" t="inlineStr"/>
      <c r="I135" s="3" t="inlineStr">
        <is>
          <t>DIN-151</t>
        </is>
      </c>
    </row>
    <row r="136">
      <c r="A136" s="3" t="inlineStr">
        <is>
          <t>DIN-158</t>
        </is>
      </c>
      <c r="B136" s="3" t="inlineStr">
        <is>
          <t>CIR-158 / DIN 158</t>
        </is>
      </c>
      <c r="C136" s="3" t="inlineStr">
        <is>
          <t>Docket_Item</t>
        </is>
      </c>
      <c r="D136" s="3" t="inlineStr">
        <is>
          <t>ROA_SPINE</t>
        </is>
      </c>
      <c r="E136" s="3" t="inlineStr">
        <is>
          <t>YES</t>
        </is>
      </c>
      <c r="F136" s="3" t="inlineStr"/>
      <c r="G136" s="3" t="inlineStr"/>
      <c r="H136" s="3" t="inlineStr"/>
      <c r="I136" s="3" t="inlineStr">
        <is>
          <t>DIN-158</t>
        </is>
      </c>
    </row>
    <row r="137">
      <c r="A137" s="3" t="inlineStr">
        <is>
          <t>DIN-170</t>
        </is>
      </c>
      <c r="B137" s="3" t="inlineStr">
        <is>
          <t>CIR-170 / DIN 170</t>
        </is>
      </c>
      <c r="C137" s="3" t="inlineStr">
        <is>
          <t>Docket_Item</t>
        </is>
      </c>
      <c r="D137" s="3" t="inlineStr">
        <is>
          <t>ROA_SPINE</t>
        </is>
      </c>
      <c r="E137" s="3" t="inlineStr">
        <is>
          <t>YES</t>
        </is>
      </c>
      <c r="F137" s="3" t="inlineStr"/>
      <c r="G137" s="3" t="inlineStr"/>
      <c r="H137" s="3" t="inlineStr"/>
      <c r="I137" s="3" t="inlineStr">
        <is>
          <t>DIN-170</t>
        </is>
      </c>
    </row>
    <row r="138">
      <c r="A138" s="3" t="inlineStr">
        <is>
          <t>DIN-176</t>
        </is>
      </c>
      <c r="B138" s="3" t="inlineStr">
        <is>
          <t>CIR-176 / DIN 176</t>
        </is>
      </c>
      <c r="C138" s="3" t="inlineStr">
        <is>
          <t>Docket_Item</t>
        </is>
      </c>
      <c r="D138" s="3" t="inlineStr">
        <is>
          <t>ROA_SPINE</t>
        </is>
      </c>
      <c r="E138" s="3" t="inlineStr">
        <is>
          <t>YES</t>
        </is>
      </c>
      <c r="F138" s="3" t="inlineStr"/>
      <c r="G138" s="3" t="inlineStr"/>
      <c r="H138" s="3" t="inlineStr"/>
      <c r="I138" s="3" t="inlineStr">
        <is>
          <t>DIN-176</t>
        </is>
      </c>
    </row>
    <row r="139">
      <c r="A139" s="3" t="inlineStr">
        <is>
          <t>DIN-178</t>
        </is>
      </c>
      <c r="B139" s="3" t="inlineStr">
        <is>
          <t>CIR-178 / DIN 178</t>
        </is>
      </c>
      <c r="C139" s="3" t="inlineStr">
        <is>
          <t>Docket_Item</t>
        </is>
      </c>
      <c r="D139" s="3" t="inlineStr">
        <is>
          <t>ROA_SPINE</t>
        </is>
      </c>
      <c r="E139" s="3" t="inlineStr">
        <is>
          <t>YES</t>
        </is>
      </c>
      <c r="F139" s="3" t="inlineStr"/>
      <c r="G139" s="3" t="inlineStr"/>
      <c r="H139" s="3" t="inlineStr"/>
      <c r="I139" s="3" t="inlineStr">
        <is>
          <t>DIN-178</t>
        </is>
      </c>
    </row>
    <row r="140">
      <c r="A140" s="3" t="inlineStr">
        <is>
          <t>DIN-173</t>
        </is>
      </c>
      <c r="B140" s="3" t="inlineStr">
        <is>
          <t>CIR-173 / DIN 173</t>
        </is>
      </c>
      <c r="C140" s="3" t="inlineStr">
        <is>
          <t>Docket_Item</t>
        </is>
      </c>
      <c r="D140" s="3" t="inlineStr">
        <is>
          <t>ROA_SPINE</t>
        </is>
      </c>
      <c r="E140" s="3" t="inlineStr">
        <is>
          <t>YES</t>
        </is>
      </c>
      <c r="F140" s="3" t="inlineStr"/>
      <c r="G140" s="3" t="inlineStr"/>
      <c r="H140" s="3" t="inlineStr"/>
      <c r="I140" s="3" t="inlineStr">
        <is>
          <t>DIN-173</t>
        </is>
      </c>
    </row>
  </sheetData>
  <dataValidations count="2">
    <dataValidation sqref="D2:D2000" showDropDown="0" showInputMessage="0" showErrorMessage="0" allowBlank="1" type="list">
      <formula1>"ROA_SPINE,EVIDENCE_ITEM,EVIDENCE_REFERENCE,MOTION_ASSERTION,COURT_FINDING"</formula1>
    </dataValidation>
    <dataValidation sqref="E2:E2000" showDropDown="0" showInputMessage="0" showErrorMessage="0" allowBlank="1" type="list">
      <formula1>"YES,NO"</formula1>
    </dataValidation>
  </dataValidation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N13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15" customWidth="1" min="4" max="4"/>
    <col width="12" customWidth="1" min="5" max="5"/>
    <col width="25" customWidth="1" min="6" max="6"/>
    <col width="24" customWidth="1" min="7" max="7"/>
    <col width="25" customWidth="1" min="8" max="8"/>
    <col width="12" customWidth="1" min="9" max="9"/>
    <col width="16" customWidth="1" min="10" max="10"/>
    <col width="12" customWidth="1" min="11" max="11"/>
    <col width="12" customWidth="1" min="12" max="12"/>
    <col width="18" customWidth="1" min="13" max="13"/>
    <col width="17" customWidth="1" min="14" max="14"/>
  </cols>
  <sheetData>
    <row r="1">
      <c r="A1" s="4" t="inlineStr">
        <is>
          <t>Edge_ID</t>
        </is>
      </c>
      <c r="B1" s="4" t="inlineStr">
        <is>
          <t>From_Entity_ID</t>
        </is>
      </c>
      <c r="C1" s="4" t="inlineStr">
        <is>
          <t>To_Entity_ID</t>
        </is>
      </c>
      <c r="D1" s="4" t="inlineStr">
        <is>
          <t>Relation_Type</t>
        </is>
      </c>
      <c r="E1" s="4" t="inlineStr">
        <is>
          <t>Layer</t>
        </is>
      </c>
      <c r="F1" s="4" t="inlineStr">
        <is>
          <t>Evidence_RecordItem_IDs</t>
        </is>
      </c>
      <c r="G1" s="4" t="inlineStr">
        <is>
          <t>Evidence_Authority_IDs</t>
        </is>
      </c>
      <c r="H1" s="4" t="inlineStr">
        <is>
          <t>Evidence_Quote_Verbatim</t>
        </is>
      </c>
      <c r="I1" s="4" t="inlineStr">
        <is>
          <t>Quote_WC</t>
        </is>
      </c>
      <c r="J1" s="4" t="inlineStr">
        <is>
          <t>Quote_Verified</t>
        </is>
      </c>
      <c r="K1" s="4" t="inlineStr">
        <is>
          <t>Notes</t>
        </is>
      </c>
      <c r="L1" s="4" t="inlineStr">
        <is>
          <t>Confidence</t>
        </is>
      </c>
      <c r="M1" s="4" t="inlineStr">
        <is>
          <t>Evidence_Summary</t>
        </is>
      </c>
      <c r="N1" s="4" t="inlineStr">
        <is>
          <t>Quote_Compliant</t>
        </is>
      </c>
    </row>
    <row r="2">
      <c r="A2" s="3" t="inlineStr">
        <is>
          <t>E00001</t>
        </is>
      </c>
      <c r="B2" s="3" t="inlineStr">
        <is>
          <t>DOC-ROA-TXT</t>
        </is>
      </c>
      <c r="C2" s="3" t="inlineStr">
        <is>
          <t>ROA-TXT-5960</t>
        </is>
      </c>
      <c r="D2" s="3" t="inlineStr">
        <is>
          <t>CONTAINS</t>
        </is>
      </c>
      <c r="E2" s="3" t="inlineStr">
        <is>
          <t>ROA_SPINE</t>
        </is>
      </c>
      <c r="F2" s="3" t="inlineStr">
        <is>
          <t>ROA-TXT-5960</t>
        </is>
      </c>
      <c r="G2" s="3" t="inlineStr"/>
      <c r="H2" s="3" t="inlineStr">
        <is>
          <t>NOTICE OF INTENTION TO IMPOSE CLAIM ON SECURITY DEPOSIT</t>
        </is>
      </c>
      <c r="I2" s="3" t="n">
        <v>9</v>
      </c>
      <c r="J2" s="3" t="inlineStr">
        <is>
          <t>UNREVIEWED</t>
        </is>
      </c>
      <c r="K2" s="3" t="inlineStr"/>
      <c r="L2" s="3" t="inlineStr">
        <is>
          <t>High</t>
        </is>
      </c>
      <c r="M2" s="3" t="n"/>
      <c r="N2" s="3" t="inlineStr">
        <is>
          <t>YES</t>
        </is>
      </c>
    </row>
    <row r="3">
      <c r="A3" s="3" t="inlineStr">
        <is>
          <t>E00002</t>
        </is>
      </c>
      <c r="B3" s="3" t="inlineStr">
        <is>
          <t>DOC-ROA-TXT</t>
        </is>
      </c>
      <c r="C3" s="3" t="inlineStr">
        <is>
          <t>ROA-TXT-5962</t>
        </is>
      </c>
      <c r="D3" s="3" t="inlineStr">
        <is>
          <t>CONTAINS</t>
        </is>
      </c>
      <c r="E3" s="3" t="inlineStr">
        <is>
          <t>ROA_SPINE</t>
        </is>
      </c>
      <c r="F3" s="3" t="inlineStr">
        <is>
          <t>ROA-TXT-5962</t>
        </is>
      </c>
      <c r="G3" s="3" t="inlineStr"/>
      <c r="H3" s="3" t="inlineStr"/>
      <c r="I3" s="3" t="n">
        <v>4</v>
      </c>
      <c r="J3" s="3" t="inlineStr">
        <is>
          <t>UNREVIEWED</t>
        </is>
      </c>
      <c r="K3" s="3" t="inlineStr"/>
      <c r="L3" s="3" t="inlineStr">
        <is>
          <t>High</t>
        </is>
      </c>
      <c r="M3" s="3" t="inlineStr">
        <is>
          <t>DATE: January 6th, 2018</t>
        </is>
      </c>
      <c r="N3" s="3" t="inlineStr">
        <is>
          <t>NO</t>
        </is>
      </c>
    </row>
    <row r="4">
      <c r="A4" s="3" t="inlineStr">
        <is>
          <t>E00003</t>
        </is>
      </c>
      <c r="B4" s="3" t="inlineStr">
        <is>
          <t>DOC-ROA-TXT</t>
        </is>
      </c>
      <c r="C4" s="3" t="inlineStr">
        <is>
          <t>ROA-TXT-1336</t>
        </is>
      </c>
      <c r="D4" s="3" t="inlineStr">
        <is>
          <t>CONTAINS</t>
        </is>
      </c>
      <c r="E4" s="3" t="inlineStr">
        <is>
          <t>ROA_SPINE</t>
        </is>
      </c>
      <c r="F4" s="3" t="inlineStr">
        <is>
          <t>ROA-TXT-1336</t>
        </is>
      </c>
      <c r="G4" s="3" t="inlineStr"/>
      <c r="H4" s="3" t="inlineStr"/>
      <c r="I4" s="3" t="n">
        <v>1</v>
      </c>
      <c r="J4" s="3" t="inlineStr">
        <is>
          <t>UNREVIEWED</t>
        </is>
      </c>
      <c r="K4" s="3" t="inlineStr"/>
      <c r="L4" s="3" t="inlineStr">
        <is>
          <t>High</t>
        </is>
      </c>
      <c r="M4" s="3" t="inlineStr">
        <is>
          <t>ESTIMATE</t>
        </is>
      </c>
      <c r="N4" s="3" t="inlineStr">
        <is>
          <t>NO</t>
        </is>
      </c>
    </row>
    <row r="5">
      <c r="A5" s="3" t="inlineStr">
        <is>
          <t>E00004</t>
        </is>
      </c>
      <c r="B5" s="3" t="inlineStr">
        <is>
          <t>DOC-ROA-TXT</t>
        </is>
      </c>
      <c r="C5" s="3" t="inlineStr">
        <is>
          <t>ROA-TXT-17966</t>
        </is>
      </c>
      <c r="D5" s="3" t="inlineStr">
        <is>
          <t>CONTAINS</t>
        </is>
      </c>
      <c r="E5" s="3" t="inlineStr">
        <is>
          <t>ROA_SPINE</t>
        </is>
      </c>
      <c r="F5" s="3" t="inlineStr">
        <is>
          <t>ROA-TXT-17966</t>
        </is>
      </c>
      <c r="G5" s="3" t="inlineStr"/>
      <c r="H5" s="3" t="inlineStr"/>
      <c r="I5" s="3" t="n">
        <v>24</v>
      </c>
      <c r="J5" s="3" t="inlineStr">
        <is>
          <t>UNREVIEWED</t>
        </is>
      </c>
      <c r="K5" s="3" t="inlineStr"/>
      <c r="L5" s="3" t="inlineStr">
        <is>
          <t>High</t>
        </is>
      </c>
      <c r="M5" s="3" t="inlineStr">
        <is>
          <t>pt for Payment Amount: $6,500,00 | f nns;ic1ion rmte: 01i2'1!201 a Mc1hod oi payncnt: Ca.sh | Payricnl ol Invoice #80623</t>
        </is>
      </c>
      <c r="N5" s="3" t="inlineStr">
        <is>
          <t>NO</t>
        </is>
      </c>
    </row>
    <row r="6">
      <c r="A6" s="3" t="inlineStr">
        <is>
          <t>E00005</t>
        </is>
      </c>
      <c r="B6" s="3" t="inlineStr">
        <is>
          <t>DOC-ROA-TXT</t>
        </is>
      </c>
      <c r="C6" s="3" t="inlineStr">
        <is>
          <t>ROA-TXT-16626</t>
        </is>
      </c>
      <c r="D6" s="3" t="inlineStr">
        <is>
          <t>CONTAINS</t>
        </is>
      </c>
      <c r="E6" s="3" t="inlineStr">
        <is>
          <t>ROA_SPINE</t>
        </is>
      </c>
      <c r="F6" s="3" t="inlineStr">
        <is>
          <t>ROA-TXT-16626</t>
        </is>
      </c>
      <c r="G6" s="3" t="inlineStr"/>
      <c r="H6" s="3" t="inlineStr"/>
      <c r="I6" s="3" t="n">
        <v>45</v>
      </c>
      <c r="J6" s="3" t="inlineStr">
        <is>
          <t>UNREVIEWED</t>
        </is>
      </c>
      <c r="K6" s="3" t="inlineStr"/>
      <c r="L6" s="3" t="inlineStr">
        <is>
          <t>High</t>
        </is>
      </c>
      <c r="M6" s="3" t="inlineStr">
        <is>
          <t>~o proof of payment exists of the S6.500.UO cash paymentthat Eli Cohen made tu Miami \fold LLC for mold remediation pcrfoHrn:d at his apartmc:nt located at: 1000 South Pointe Drive. Unit TI-f-/\5, Miami Beach, Fl, 33139 other than invoice #</t>
        </is>
      </c>
      <c r="N6" s="3" t="inlineStr">
        <is>
          <t>NO</t>
        </is>
      </c>
    </row>
    <row r="7">
      <c r="A7" s="3" t="inlineStr">
        <is>
          <t>E00006</t>
        </is>
      </c>
      <c r="B7" s="3" t="inlineStr">
        <is>
          <t>DOC-ROA-TXT</t>
        </is>
      </c>
      <c r="C7" s="3" t="inlineStr">
        <is>
          <t>ROA-TXT-18011</t>
        </is>
      </c>
      <c r="D7" s="3" t="inlineStr">
        <is>
          <t>CONTAINS</t>
        </is>
      </c>
      <c r="E7" s="3" t="inlineStr">
        <is>
          <t>ROA_SPINE</t>
        </is>
      </c>
      <c r="F7" s="3" t="inlineStr">
        <is>
          <t>ROA-TXT-18011</t>
        </is>
      </c>
      <c r="G7" s="3" t="inlineStr"/>
      <c r="H7" s="3" t="inlineStr">
        <is>
          <t>Police Report #2019-00042552 documents Plaintiff's unauthorized removal and disposal of Defendant's property ..</t>
        </is>
      </c>
      <c r="I7" s="3" t="n">
        <v>15</v>
      </c>
      <c r="J7" s="3" t="inlineStr">
        <is>
          <t>UNREVIEWED</t>
        </is>
      </c>
      <c r="K7" s="3" t="inlineStr"/>
      <c r="L7" s="3" t="inlineStr">
        <is>
          <t>High</t>
        </is>
      </c>
      <c r="M7" s="3" t="n"/>
      <c r="N7" s="3" t="inlineStr">
        <is>
          <t>YES</t>
        </is>
      </c>
    </row>
    <row r="8">
      <c r="A8" s="3" t="inlineStr">
        <is>
          <t>E00007</t>
        </is>
      </c>
      <c r="B8" s="3" t="inlineStr">
        <is>
          <t>DOC-ROA-TXT</t>
        </is>
      </c>
      <c r="C8" s="3" t="inlineStr">
        <is>
          <t>ROA-TXT-18017</t>
        </is>
      </c>
      <c r="D8" s="3" t="inlineStr">
        <is>
          <t>CONTAINS</t>
        </is>
      </c>
      <c r="E8" s="3" t="inlineStr">
        <is>
          <t>ROA_SPINE</t>
        </is>
      </c>
      <c r="F8" s="3" t="inlineStr">
        <is>
          <t>ROA-TXT-18017</t>
        </is>
      </c>
      <c r="G8" s="3" t="inlineStr"/>
      <c r="H8" s="3" t="inlineStr">
        <is>
          <t>Under Public Health Trust v. Valcin, 507 So. 2d 596 (Fla. 1987), this mandates an adverse inference.</t>
        </is>
      </c>
      <c r="I8" s="3" t="n">
        <v>17</v>
      </c>
      <c r="J8" s="3" t="inlineStr">
        <is>
          <t>UNREVIEWED</t>
        </is>
      </c>
      <c r="K8" s="3" t="inlineStr"/>
      <c r="L8" s="3" t="inlineStr">
        <is>
          <t>High</t>
        </is>
      </c>
      <c r="M8" s="3" t="n"/>
      <c r="N8" s="3" t="inlineStr">
        <is>
          <t>YES</t>
        </is>
      </c>
    </row>
    <row r="9">
      <c r="A9" s="3" t="inlineStr">
        <is>
          <t>E00008</t>
        </is>
      </c>
      <c r="B9" s="3" t="inlineStr">
        <is>
          <t>ROA-TXT-5960</t>
        </is>
      </c>
      <c r="C9" s="3" t="inlineStr">
        <is>
          <t>I-SECDEP</t>
        </is>
      </c>
      <c r="D9" s="3" t="inlineStr">
        <is>
          <t>SUPPORTS_ISSUE</t>
        </is>
      </c>
      <c r="E9" s="3" t="inlineStr">
        <is>
          <t>EVIDENCE_ITEM</t>
        </is>
      </c>
      <c r="F9" s="3" t="inlineStr">
        <is>
          <t>ROA-TXT-5960</t>
        </is>
      </c>
      <c r="G9" s="3" t="inlineStr"/>
      <c r="H9" s="3" t="inlineStr">
        <is>
          <t>NOTICE OF INTENTION TO IMPOSE CLAIM ON SECURITY DEPOSIT</t>
        </is>
      </c>
      <c r="I9" s="3" t="n">
        <v>9</v>
      </c>
      <c r="J9" s="3" t="inlineStr">
        <is>
          <t>UNREVIEWED</t>
        </is>
      </c>
      <c r="K9" s="3" t="inlineStr"/>
      <c r="L9" s="3" t="inlineStr">
        <is>
          <t>Medium</t>
        </is>
      </c>
      <c r="M9" s="3" t="n"/>
      <c r="N9" s="3" t="inlineStr">
        <is>
          <t>YES</t>
        </is>
      </c>
    </row>
    <row r="10">
      <c r="A10" s="3" t="inlineStr">
        <is>
          <t>E00009</t>
        </is>
      </c>
      <c r="B10" s="3" t="inlineStr">
        <is>
          <t>ROA-TXT-5962</t>
        </is>
      </c>
      <c r="C10" s="3" t="inlineStr">
        <is>
          <t>I-SECDEP</t>
        </is>
      </c>
      <c r="D10" s="3" t="inlineStr">
        <is>
          <t>SUPPORTS_ISSUE</t>
        </is>
      </c>
      <c r="E10" s="3" t="inlineStr">
        <is>
          <t>EVIDENCE_ITEM</t>
        </is>
      </c>
      <c r="F10" s="3" t="inlineStr">
        <is>
          <t>ROA-TXT-5962</t>
        </is>
      </c>
      <c r="G10" s="3" t="inlineStr"/>
      <c r="H10" s="3" t="inlineStr"/>
      <c r="I10" s="3" t="n">
        <v>4</v>
      </c>
      <c r="J10" s="3" t="inlineStr">
        <is>
          <t>UNREVIEWED</t>
        </is>
      </c>
      <c r="K10" s="3" t="inlineStr"/>
      <c r="L10" s="3" t="inlineStr">
        <is>
          <t>Medium</t>
        </is>
      </c>
      <c r="M10" s="3" t="inlineStr">
        <is>
          <t>DATE: January 6th, 2018</t>
        </is>
      </c>
      <c r="N10" s="3" t="inlineStr">
        <is>
          <t>NO</t>
        </is>
      </c>
    </row>
    <row r="11">
      <c r="A11" s="3" t="inlineStr">
        <is>
          <t>E00010</t>
        </is>
      </c>
      <c r="B11" s="3" t="inlineStr">
        <is>
          <t>ROA-TXT-1336</t>
        </is>
      </c>
      <c r="C11" s="3" t="inlineStr">
        <is>
          <t>I-DAMAGES</t>
        </is>
      </c>
      <c r="D11" s="3" t="inlineStr">
        <is>
          <t>SUPPORTS_ISSUE</t>
        </is>
      </c>
      <c r="E11" s="3" t="inlineStr">
        <is>
          <t>EVIDENCE_ITEM</t>
        </is>
      </c>
      <c r="F11" s="3" t="inlineStr">
        <is>
          <t>ROA-TXT-1336</t>
        </is>
      </c>
      <c r="G11" s="3" t="inlineStr"/>
      <c r="H11" s="3" t="inlineStr"/>
      <c r="I11" s="3" t="n">
        <v>1</v>
      </c>
      <c r="J11" s="3" t="inlineStr">
        <is>
          <t>UNREVIEWED</t>
        </is>
      </c>
      <c r="K11" s="3" t="inlineStr"/>
      <c r="L11" s="3" t="inlineStr">
        <is>
          <t>Medium</t>
        </is>
      </c>
      <c r="M11" s="3" t="inlineStr">
        <is>
          <t>ESTIMATE</t>
        </is>
      </c>
      <c r="N11" s="3" t="inlineStr">
        <is>
          <t>NO</t>
        </is>
      </c>
    </row>
    <row r="12">
      <c r="A12" s="3" t="inlineStr">
        <is>
          <t>E00011</t>
        </is>
      </c>
      <c r="B12" s="3" t="inlineStr">
        <is>
          <t>ROA-TXT-17966</t>
        </is>
      </c>
      <c r="C12" s="3" t="inlineStr">
        <is>
          <t>I-DAMAGES</t>
        </is>
      </c>
      <c r="D12" s="3" t="inlineStr">
        <is>
          <t>SUPPORTS_ISSUE</t>
        </is>
      </c>
      <c r="E12" s="3" t="inlineStr">
        <is>
          <t>EVIDENCE_ITEM</t>
        </is>
      </c>
      <c r="F12" s="3" t="inlineStr">
        <is>
          <t>ROA-TXT-17966</t>
        </is>
      </c>
      <c r="G12" s="3" t="inlineStr"/>
      <c r="H12" s="3" t="inlineStr"/>
      <c r="I12" s="3" t="n">
        <v>24</v>
      </c>
      <c r="J12" s="3" t="inlineStr">
        <is>
          <t>UNREVIEWED</t>
        </is>
      </c>
      <c r="K12" s="3" t="inlineStr"/>
      <c r="L12" s="3" t="inlineStr">
        <is>
          <t>Medium</t>
        </is>
      </c>
      <c r="M12" s="3" t="inlineStr">
        <is>
          <t>pt for Payment Amount: $6,500,00 | f nns;ic1ion rmte: 01i2'1!201 a Mc1hod oi payncnt: Ca.sh | Payricnl ol Invoice #80623</t>
        </is>
      </c>
      <c r="N12" s="3" t="inlineStr">
        <is>
          <t>NO</t>
        </is>
      </c>
    </row>
    <row r="13">
      <c r="A13" s="3" t="inlineStr">
        <is>
          <t>E00012</t>
        </is>
      </c>
      <c r="B13" s="3" t="inlineStr">
        <is>
          <t>ROA-TXT-16626</t>
        </is>
      </c>
      <c r="C13" s="3" t="inlineStr">
        <is>
          <t>I-DAMAGES</t>
        </is>
      </c>
      <c r="D13" s="3" t="inlineStr">
        <is>
          <t>SUPPORTS_ISSUE</t>
        </is>
      </c>
      <c r="E13" s="3" t="inlineStr">
        <is>
          <t>EVIDENCE_ITEM</t>
        </is>
      </c>
      <c r="F13" s="3" t="inlineStr">
        <is>
          <t>ROA-TXT-16626</t>
        </is>
      </c>
      <c r="G13" s="3" t="inlineStr"/>
      <c r="H13" s="3" t="inlineStr"/>
      <c r="I13" s="3" t="n">
        <v>45</v>
      </c>
      <c r="J13" s="3" t="inlineStr">
        <is>
          <t>UNREVIEWED</t>
        </is>
      </c>
      <c r="K13" s="3" t="inlineStr"/>
      <c r="L13" s="3" t="inlineStr">
        <is>
          <t>Medium</t>
        </is>
      </c>
      <c r="M13" s="3" t="inlineStr">
        <is>
          <t>~o proof of payment exists of the S6.500.UO cash paymentthat Eli Cohen made tu Miami \fold LLC for mold remediation pcrfoHrn:d at his apartmc:nt located at: 1000 South Pointe Drive. Unit TI-f-/\5, Miami Beach, Fl, 33139 other than invoice #</t>
        </is>
      </c>
      <c r="N13" s="3" t="inlineStr">
        <is>
          <t>NO</t>
        </is>
      </c>
    </row>
    <row r="14">
      <c r="A14" s="3" t="inlineStr">
        <is>
          <t>E00013</t>
        </is>
      </c>
      <c r="B14" s="3" t="inlineStr">
        <is>
          <t>ROA-TXT-18011</t>
        </is>
      </c>
      <c r="C14" s="3" t="inlineStr">
        <is>
          <t>I-SPOLIATION</t>
        </is>
      </c>
      <c r="D14" s="3" t="inlineStr">
        <is>
          <t>SUPPORTS_ISSUE</t>
        </is>
      </c>
      <c r="E14" s="3" t="inlineStr">
        <is>
          <t>MOTION_ASSERTION</t>
        </is>
      </c>
      <c r="F14" s="3" t="inlineStr">
        <is>
          <t>ROA-TXT-18011</t>
        </is>
      </c>
      <c r="G14" s="3" t="inlineStr"/>
      <c r="H14" s="3" t="inlineStr">
        <is>
          <t>Police Report #2019-00042552 documents Plaintiff's unauthorized removal and disposal of Defendant's property ..</t>
        </is>
      </c>
      <c r="I14" s="3" t="n">
        <v>15</v>
      </c>
      <c r="J14" s="3" t="inlineStr">
        <is>
          <t>UNREVIEWED</t>
        </is>
      </c>
      <c r="K14" s="3" t="inlineStr"/>
      <c r="L14" s="3" t="inlineStr">
        <is>
          <t>Medium</t>
        </is>
      </c>
      <c r="M14" s="3" t="n"/>
      <c r="N14" s="3" t="inlineStr">
        <is>
          <t>YES</t>
        </is>
      </c>
    </row>
    <row r="15">
      <c r="A15" s="3" t="inlineStr">
        <is>
          <t>E00014</t>
        </is>
      </c>
      <c r="B15" s="3" t="inlineStr">
        <is>
          <t>ROA-TXT-18017</t>
        </is>
      </c>
      <c r="C15" s="3" t="inlineStr">
        <is>
          <t>I-SPOLIATION</t>
        </is>
      </c>
      <c r="D15" s="3" t="inlineStr">
        <is>
          <t>SUPPORTS_ISSUE</t>
        </is>
      </c>
      <c r="E15" s="3" t="inlineStr">
        <is>
          <t>MOTION_ASSERTION</t>
        </is>
      </c>
      <c r="F15" s="3" t="inlineStr">
        <is>
          <t>ROA-TXT-18017</t>
        </is>
      </c>
      <c r="G15" s="3" t="inlineStr"/>
      <c r="H15" s="3" t="inlineStr">
        <is>
          <t>Under Public Health Trust v. Valcin, 507 So. 2d 596 (Fla. 1987), this mandates an adverse inference.</t>
        </is>
      </c>
      <c r="I15" s="3" t="n">
        <v>17</v>
      </c>
      <c r="J15" s="3" t="inlineStr">
        <is>
          <t>UNREVIEWED</t>
        </is>
      </c>
      <c r="K15" s="3" t="inlineStr"/>
      <c r="L15" s="3" t="inlineStr">
        <is>
          <t>Medium</t>
        </is>
      </c>
      <c r="M15" s="3" t="n"/>
      <c r="N15" s="3" t="inlineStr">
        <is>
          <t>YES</t>
        </is>
      </c>
    </row>
    <row r="16">
      <c r="A16" s="3" t="inlineStr">
        <is>
          <t>E00015</t>
        </is>
      </c>
      <c r="B16" s="3" t="inlineStr">
        <is>
          <t>AUTH-FL-VALCIN</t>
        </is>
      </c>
      <c r="C16" s="3" t="inlineStr">
        <is>
          <t>I-SPOLIATION</t>
        </is>
      </c>
      <c r="D16" s="3" t="inlineStr">
        <is>
          <t>SUPPORTS_ISSUE</t>
        </is>
      </c>
      <c r="E16" s="3" t="inlineStr">
        <is>
          <t>EVIDENCE_ITEM</t>
        </is>
      </c>
      <c r="F16" s="3" t="inlineStr"/>
      <c r="G16" s="3" t="inlineStr">
        <is>
          <t>AUTH-FL-VALCIN</t>
        </is>
      </c>
      <c r="H16" s="3" t="inlineStr"/>
      <c r="I16" s="3" t="n">
        <v>1</v>
      </c>
      <c r="J16" s="3" t="inlineStr">
        <is>
          <t>UNREVIEWED</t>
        </is>
      </c>
      <c r="K16" s="3" t="inlineStr"/>
      <c r="L16" s="3" t="inlineStr">
        <is>
          <t>Medium</t>
        </is>
      </c>
      <c r="M16" s="3" t="inlineStr">
        <is>
          <t>[PROPOSITION_PENDING]</t>
        </is>
      </c>
      <c r="N16" s="3" t="inlineStr">
        <is>
          <t>NO</t>
        </is>
      </c>
    </row>
    <row r="17">
      <c r="A17" s="3" t="inlineStr">
        <is>
          <t>E00016</t>
        </is>
      </c>
      <c r="B17" s="3" t="inlineStr">
        <is>
          <t>AUTH-FL-RULE-1510</t>
        </is>
      </c>
      <c r="C17" s="3" t="inlineStr">
        <is>
          <t>I-DAMAGES</t>
        </is>
      </c>
      <c r="D17" s="3" t="inlineStr">
        <is>
          <t>SUPPORTS_ISSUE</t>
        </is>
      </c>
      <c r="E17" s="3" t="inlineStr">
        <is>
          <t>EVIDENCE_ITEM</t>
        </is>
      </c>
      <c r="F17" s="3" t="inlineStr"/>
      <c r="G17" s="3" t="inlineStr">
        <is>
          <t>AUTH-FL-RULE-1510</t>
        </is>
      </c>
      <c r="H17" s="3" t="inlineStr">
        <is>
          <t>SJ requires no genuine dispute of material fact.</t>
        </is>
      </c>
      <c r="I17" s="3" t="n">
        <v>8</v>
      </c>
      <c r="J17" s="3" t="inlineStr">
        <is>
          <t>UNREVIEWED</t>
        </is>
      </c>
      <c r="K17" s="3" t="inlineStr"/>
      <c r="L17" s="3" t="inlineStr">
        <is>
          <t>Medium</t>
        </is>
      </c>
      <c r="M17" s="3" t="n"/>
      <c r="N17" s="3" t="inlineStr">
        <is>
          <t>YES</t>
        </is>
      </c>
    </row>
    <row r="18">
      <c r="A18" s="3" t="inlineStr">
        <is>
          <t>E00017</t>
        </is>
      </c>
      <c r="B18" s="3" t="inlineStr">
        <is>
          <t>CLM-DAM-001</t>
        </is>
      </c>
      <c r="C18" s="3" t="inlineStr">
        <is>
          <t>I-DAMAGES</t>
        </is>
      </c>
      <c r="D18" s="3" t="inlineStr">
        <is>
          <t>BELONGS_TO</t>
        </is>
      </c>
      <c r="E18" s="3" t="inlineStr">
        <is>
          <t>EVIDENCE_ITEM</t>
        </is>
      </c>
      <c r="F18" s="3" t="inlineStr"/>
      <c r="G18" s="3" t="inlineStr"/>
      <c r="H18" s="3" t="inlineStr"/>
      <c r="I18" s="3" t="n">
        <v>0</v>
      </c>
      <c r="J18" s="3" t="inlineStr">
        <is>
          <t>UNREVIEWED</t>
        </is>
      </c>
      <c r="K18" s="3" t="inlineStr">
        <is>
          <t>T1</t>
        </is>
      </c>
      <c r="L18" s="3" t="inlineStr">
        <is>
          <t>High</t>
        </is>
      </c>
      <c r="M18" s="3" t="n"/>
      <c r="N18" s="3" t="inlineStr">
        <is>
          <t>NO</t>
        </is>
      </c>
    </row>
    <row r="19">
      <c r="A19" s="3" t="inlineStr">
        <is>
          <t>E00018</t>
        </is>
      </c>
      <c r="B19" s="3" t="inlineStr">
        <is>
          <t>CLM-DAM-001</t>
        </is>
      </c>
      <c r="C19" s="3" t="inlineStr">
        <is>
          <t>ROA-TXT-1336</t>
        </is>
      </c>
      <c r="D19" s="3" t="inlineStr">
        <is>
          <t>EVIDENCED_BY</t>
        </is>
      </c>
      <c r="E19" s="3" t="inlineStr">
        <is>
          <t>EVIDENCE_ITEM</t>
        </is>
      </c>
      <c r="F19" s="3" t="inlineStr">
        <is>
          <t>ROA-TXT-1336</t>
        </is>
      </c>
      <c r="G19" s="3" t="inlineStr"/>
      <c r="H19" s="3" t="inlineStr"/>
      <c r="I19" s="3" t="n">
        <v>1</v>
      </c>
      <c r="J19" s="3" t="inlineStr">
        <is>
          <t>UNREVIEWED</t>
        </is>
      </c>
      <c r="K19" s="3" t="inlineStr"/>
      <c r="L19" s="3" t="inlineStr">
        <is>
          <t>Medium</t>
        </is>
      </c>
      <c r="M19" s="3" t="inlineStr">
        <is>
          <t>ESTIMATE</t>
        </is>
      </c>
      <c r="N19" s="3" t="inlineStr">
        <is>
          <t>NO</t>
        </is>
      </c>
    </row>
    <row r="20">
      <c r="A20" s="3" t="inlineStr">
        <is>
          <t>E00019</t>
        </is>
      </c>
      <c r="B20" s="3" t="inlineStr">
        <is>
          <t>CLM-DAM-002</t>
        </is>
      </c>
      <c r="C20" s="3" t="inlineStr">
        <is>
          <t>I-DAMAGES</t>
        </is>
      </c>
      <c r="D20" s="3" t="inlineStr">
        <is>
          <t>BELONGS_TO</t>
        </is>
      </c>
      <c r="E20" s="3" t="inlineStr">
        <is>
          <t>EVIDENCE_ITEM</t>
        </is>
      </c>
      <c r="F20" s="3" t="inlineStr"/>
      <c r="G20" s="3" t="inlineStr"/>
      <c r="H20" s="3" t="inlineStr"/>
      <c r="I20" s="3" t="n">
        <v>0</v>
      </c>
      <c r="J20" s="3" t="inlineStr">
        <is>
          <t>UNREVIEWED</t>
        </is>
      </c>
      <c r="K20" s="3" t="inlineStr">
        <is>
          <t>T1</t>
        </is>
      </c>
      <c r="L20" s="3" t="inlineStr">
        <is>
          <t>High</t>
        </is>
      </c>
      <c r="M20" s="3" t="n"/>
      <c r="N20" s="3" t="inlineStr">
        <is>
          <t>NO</t>
        </is>
      </c>
    </row>
    <row r="21">
      <c r="A21" s="3" t="inlineStr">
        <is>
          <t>E00020</t>
        </is>
      </c>
      <c r="B21" s="3" t="inlineStr">
        <is>
          <t>CLM-DAM-002</t>
        </is>
      </c>
      <c r="C21" s="3" t="inlineStr">
        <is>
          <t>ROA-TXT-16626</t>
        </is>
      </c>
      <c r="D21" s="3" t="inlineStr">
        <is>
          <t>EVIDENCED_BY</t>
        </is>
      </c>
      <c r="E21" s="3" t="inlineStr">
        <is>
          <t>EVIDENCE_ITEM</t>
        </is>
      </c>
      <c r="F21" s="3" t="inlineStr">
        <is>
          <t>ROA-TXT-16626</t>
        </is>
      </c>
      <c r="G21" s="3" t="inlineStr"/>
      <c r="H21" s="3" t="inlineStr"/>
      <c r="I21" s="3" t="n">
        <v>45</v>
      </c>
      <c r="J21" s="3" t="inlineStr">
        <is>
          <t>UNREVIEWED</t>
        </is>
      </c>
      <c r="K21" s="3" t="inlineStr"/>
      <c r="L21" s="3" t="inlineStr">
        <is>
          <t>Medium</t>
        </is>
      </c>
      <c r="M21" s="3" t="inlineStr">
        <is>
          <t>~o proof of payment exists of the S6.500.UO cash paymentthat Eli Cohen made tu Miami \fold LLC for mold remediation pcrfoHrn:d at his apartmc:nt located at: 1000 South Pointe Drive. Unit TI-f-/\5, Miami Beach, Fl, 33139 other than invoice #</t>
        </is>
      </c>
      <c r="N21" s="3" t="inlineStr">
        <is>
          <t>NO</t>
        </is>
      </c>
    </row>
    <row r="22">
      <c r="A22" s="3" t="inlineStr">
        <is>
          <t>E00021</t>
        </is>
      </c>
      <c r="B22" s="3" t="inlineStr">
        <is>
          <t>CLM-DAM-002</t>
        </is>
      </c>
      <c r="C22" s="3" t="inlineStr">
        <is>
          <t>ROA-TXT-17966</t>
        </is>
      </c>
      <c r="D22" s="3" t="inlineStr">
        <is>
          <t>EVIDENCED_BY</t>
        </is>
      </c>
      <c r="E22" s="3" t="inlineStr">
        <is>
          <t>EVIDENCE_ITEM</t>
        </is>
      </c>
      <c r="F22" s="3" t="inlineStr">
        <is>
          <t>ROA-TXT-17966</t>
        </is>
      </c>
      <c r="G22" s="3" t="inlineStr"/>
      <c r="H22" s="3" t="inlineStr"/>
      <c r="I22" s="3" t="n">
        <v>24</v>
      </c>
      <c r="J22" s="3" t="inlineStr">
        <is>
          <t>UNREVIEWED</t>
        </is>
      </c>
      <c r="K22" s="3" t="inlineStr"/>
      <c r="L22" s="3" t="inlineStr">
        <is>
          <t>Medium</t>
        </is>
      </c>
      <c r="M22" s="3" t="inlineStr">
        <is>
          <t>pt for Payment Amount: $6,500,00 | f nns;ic1ion rmte: 01i2'1!201 a Mc1hod oi payncnt: Ca.sh | Payricnl ol Invoice #80623</t>
        </is>
      </c>
      <c r="N22" s="3" t="inlineStr">
        <is>
          <t>NO</t>
        </is>
      </c>
    </row>
    <row r="23">
      <c r="A23" s="3" t="inlineStr">
        <is>
          <t>E00022</t>
        </is>
      </c>
      <c r="B23" s="3" t="inlineStr">
        <is>
          <t>CLM-SPO-001</t>
        </is>
      </c>
      <c r="C23" s="3" t="inlineStr">
        <is>
          <t>I-SPOLIATION</t>
        </is>
      </c>
      <c r="D23" s="3" t="inlineStr">
        <is>
          <t>BELONGS_TO</t>
        </is>
      </c>
      <c r="E23" s="3" t="inlineStr">
        <is>
          <t>EVIDENCE_ITEM</t>
        </is>
      </c>
      <c r="F23" s="3" t="inlineStr"/>
      <c r="G23" s="3" t="inlineStr"/>
      <c r="H23" s="3" t="inlineStr"/>
      <c r="I23" s="3" t="n">
        <v>0</v>
      </c>
      <c r="J23" s="3" t="inlineStr">
        <is>
          <t>UNREVIEWED</t>
        </is>
      </c>
      <c r="K23" s="3" t="inlineStr">
        <is>
          <t>T1 (motion assertion)</t>
        </is>
      </c>
      <c r="L23" s="3" t="inlineStr">
        <is>
          <t>High</t>
        </is>
      </c>
      <c r="M23" s="3" t="n"/>
      <c r="N23" s="3" t="inlineStr">
        <is>
          <t>NO</t>
        </is>
      </c>
    </row>
    <row r="24">
      <c r="A24" s="3" t="inlineStr">
        <is>
          <t>E00023</t>
        </is>
      </c>
      <c r="B24" s="3" t="inlineStr">
        <is>
          <t>CLM-SPO-001</t>
        </is>
      </c>
      <c r="C24" s="3" t="inlineStr">
        <is>
          <t>ROA-TXT-18011</t>
        </is>
      </c>
      <c r="D24" s="3" t="inlineStr">
        <is>
          <t>EVIDENCED_BY</t>
        </is>
      </c>
      <c r="E24" s="3" t="inlineStr">
        <is>
          <t>MOTION_ASSERTION</t>
        </is>
      </c>
      <c r="F24" s="3" t="inlineStr">
        <is>
          <t>ROA-TXT-18011</t>
        </is>
      </c>
      <c r="G24" s="3" t="inlineStr"/>
      <c r="H24" s="3" t="inlineStr">
        <is>
          <t>Police Report #2019-00042552 documents Plaintiff's unauthorized removal and disposal of Defendant's property ..</t>
        </is>
      </c>
      <c r="I24" s="3" t="n">
        <v>15</v>
      </c>
      <c r="J24" s="3" t="inlineStr">
        <is>
          <t>UNREVIEWED</t>
        </is>
      </c>
      <c r="K24" s="3" t="inlineStr"/>
      <c r="L24" s="3" t="inlineStr">
        <is>
          <t>Medium</t>
        </is>
      </c>
      <c r="M24" s="3" t="n"/>
      <c r="N24" s="3" t="inlineStr">
        <is>
          <t>YES</t>
        </is>
      </c>
    </row>
    <row r="25">
      <c r="A25" s="3" t="inlineStr">
        <is>
          <t>E00024</t>
        </is>
      </c>
      <c r="B25" s="3" t="inlineStr">
        <is>
          <t>CLM-SPO-002</t>
        </is>
      </c>
      <c r="C25" s="3" t="inlineStr">
        <is>
          <t>I-SPOLIATION</t>
        </is>
      </c>
      <c r="D25" s="3" t="inlineStr">
        <is>
          <t>BELONGS_TO</t>
        </is>
      </c>
      <c r="E25" s="3" t="inlineStr">
        <is>
          <t>EVIDENCE_ITEM</t>
        </is>
      </c>
      <c r="F25" s="3" t="inlineStr"/>
      <c r="G25" s="3" t="inlineStr"/>
      <c r="H25" s="3" t="inlineStr"/>
      <c r="I25" s="3" t="n">
        <v>0</v>
      </c>
      <c r="J25" s="3" t="inlineStr">
        <is>
          <t>UNREVIEWED</t>
        </is>
      </c>
      <c r="K25" s="3" t="inlineStr">
        <is>
          <t>T2</t>
        </is>
      </c>
      <c r="L25" s="3" t="inlineStr">
        <is>
          <t>High</t>
        </is>
      </c>
      <c r="M25" s="3" t="n"/>
      <c r="N25" s="3" t="inlineStr">
        <is>
          <t>NO</t>
        </is>
      </c>
    </row>
    <row r="26">
      <c r="A26" s="3" t="inlineStr">
        <is>
          <t>E00025</t>
        </is>
      </c>
      <c r="B26" s="3" t="inlineStr">
        <is>
          <t>CLM-SPO-002</t>
        </is>
      </c>
      <c r="C26" s="3" t="inlineStr">
        <is>
          <t>ROA-TXT-18017</t>
        </is>
      </c>
      <c r="D26" s="3" t="inlineStr">
        <is>
          <t>EVIDENCED_BY</t>
        </is>
      </c>
      <c r="E26" s="3" t="inlineStr">
        <is>
          <t>MOTION_ASSERTION</t>
        </is>
      </c>
      <c r="F26" s="3" t="inlineStr">
        <is>
          <t>ROA-TXT-18017</t>
        </is>
      </c>
      <c r="G26" s="3" t="inlineStr"/>
      <c r="H26" s="3" t="inlineStr">
        <is>
          <t>Under Public Health Trust v. Valcin, 507 So. 2d 596 (Fla. 1987), this mandates an adverse inference.</t>
        </is>
      </c>
      <c r="I26" s="3" t="n">
        <v>17</v>
      </c>
      <c r="J26" s="3" t="inlineStr">
        <is>
          <t>UNREVIEWED</t>
        </is>
      </c>
      <c r="K26" s="3" t="inlineStr"/>
      <c r="L26" s="3" t="inlineStr">
        <is>
          <t>Medium</t>
        </is>
      </c>
      <c r="M26" s="3" t="n"/>
      <c r="N26" s="3" t="inlineStr">
        <is>
          <t>YES</t>
        </is>
      </c>
    </row>
    <row r="27">
      <c r="A27" s="3" t="inlineStr">
        <is>
          <t>E00026</t>
        </is>
      </c>
      <c r="B27" s="3" t="inlineStr">
        <is>
          <t>CLM-SPO-002</t>
        </is>
      </c>
      <c r="C27" s="3" t="inlineStr">
        <is>
          <t>AUTH-FL-VALCIN</t>
        </is>
      </c>
      <c r="D27" s="3" t="inlineStr">
        <is>
          <t>SUPPORTED_BY</t>
        </is>
      </c>
      <c r="E27" s="3" t="inlineStr">
        <is>
          <t>EVIDENCE_ITEM</t>
        </is>
      </c>
      <c r="F27" s="3" t="inlineStr"/>
      <c r="G27" s="3" t="inlineStr">
        <is>
          <t>AUTH-FL-VALCIN</t>
        </is>
      </c>
      <c r="H27" s="3" t="inlineStr"/>
      <c r="I27" s="3" t="n">
        <v>1</v>
      </c>
      <c r="J27" s="3" t="inlineStr">
        <is>
          <t>UNREVIEWED</t>
        </is>
      </c>
      <c r="K27" s="3" t="inlineStr"/>
      <c r="L27" s="3" t="inlineStr">
        <is>
          <t>Medium</t>
        </is>
      </c>
      <c r="M27" s="3" t="inlineStr">
        <is>
          <t>[PROPOSITION_PENDING]</t>
        </is>
      </c>
      <c r="N27" s="3" t="inlineStr">
        <is>
          <t>NO</t>
        </is>
      </c>
    </row>
    <row r="28">
      <c r="A28" s="3" t="inlineStr">
        <is>
          <t>E00027</t>
        </is>
      </c>
      <c r="B28" s="3" t="inlineStr">
        <is>
          <t>CON-001</t>
        </is>
      </c>
      <c r="C28" s="3" t="inlineStr">
        <is>
          <t>I-DAMAGES</t>
        </is>
      </c>
      <c r="D28" s="3" t="inlineStr">
        <is>
          <t>AFFECTS</t>
        </is>
      </c>
      <c r="E28" s="3" t="inlineStr">
        <is>
          <t>EVIDENCE_ITEM</t>
        </is>
      </c>
      <c r="F28" s="3" t="inlineStr"/>
      <c r="G28" s="3" t="inlineStr"/>
      <c r="H28" s="3" t="inlineStr"/>
      <c r="I28" s="3" t="n">
        <v>0</v>
      </c>
      <c r="J28" s="3" t="inlineStr">
        <is>
          <t>UNREVIEWED</t>
        </is>
      </c>
      <c r="K28" s="3" t="inlineStr"/>
      <c r="L28" s="3" t="inlineStr">
        <is>
          <t>High</t>
        </is>
      </c>
      <c r="M28" s="3" t="n"/>
      <c r="N28" s="3" t="inlineStr">
        <is>
          <t>NO</t>
        </is>
      </c>
    </row>
    <row r="29">
      <c r="A29" s="3" t="inlineStr">
        <is>
          <t>E00028</t>
        </is>
      </c>
      <c r="B29" s="3" t="inlineStr">
        <is>
          <t>CON-001</t>
        </is>
      </c>
      <c r="C29" s="3" t="inlineStr">
        <is>
          <t>ROA-TXT-16626</t>
        </is>
      </c>
      <c r="D29" s="3" t="inlineStr">
        <is>
          <t>INVOLVES</t>
        </is>
      </c>
      <c r="E29" s="3" t="inlineStr">
        <is>
          <t>EVIDENCE_ITEM</t>
        </is>
      </c>
      <c r="F29" s="3" t="inlineStr">
        <is>
          <t>ROA-TXT-16626</t>
        </is>
      </c>
      <c r="G29" s="3" t="inlineStr"/>
      <c r="H29" s="3" t="inlineStr"/>
      <c r="I29" s="3" t="n">
        <v>45</v>
      </c>
      <c r="J29" s="3" t="inlineStr">
        <is>
          <t>UNREVIEWED</t>
        </is>
      </c>
      <c r="K29" s="3" t="inlineStr"/>
      <c r="L29" s="3" t="inlineStr">
        <is>
          <t>High</t>
        </is>
      </c>
      <c r="M29" s="3" t="inlineStr">
        <is>
          <t>~o proof of payment exists of the S6.500.UO cash paymentthat Eli Cohen made tu Miami \fold LLC for mold remediation pcrfoHrn:d at his apartmc:nt located at: 1000 South Pointe Drive. Unit TI-f-/\5, Miami Beach, Fl, 33139 other than invoice #</t>
        </is>
      </c>
      <c r="N29" s="3" t="inlineStr">
        <is>
          <t>NO</t>
        </is>
      </c>
    </row>
    <row r="30">
      <c r="A30" s="3" t="inlineStr">
        <is>
          <t>E00029</t>
        </is>
      </c>
      <c r="B30" s="3" t="inlineStr">
        <is>
          <t>CON-001</t>
        </is>
      </c>
      <c r="C30" s="3" t="inlineStr">
        <is>
          <t>ROA-TXT-17966</t>
        </is>
      </c>
      <c r="D30" s="3" t="inlineStr">
        <is>
          <t>INVOLVES</t>
        </is>
      </c>
      <c r="E30" s="3" t="inlineStr">
        <is>
          <t>EVIDENCE_ITEM</t>
        </is>
      </c>
      <c r="F30" s="3" t="inlineStr">
        <is>
          <t>ROA-TXT-17966</t>
        </is>
      </c>
      <c r="G30" s="3" t="inlineStr"/>
      <c r="H30" s="3" t="inlineStr"/>
      <c r="I30" s="3" t="n">
        <v>24</v>
      </c>
      <c r="J30" s="3" t="inlineStr">
        <is>
          <t>UNREVIEWED</t>
        </is>
      </c>
      <c r="K30" s="3" t="inlineStr"/>
      <c r="L30" s="3" t="inlineStr">
        <is>
          <t>High</t>
        </is>
      </c>
      <c r="M30" s="3" t="inlineStr">
        <is>
          <t>pt for Payment Amount: $6,500,00 | f nns;ic1ion rmte: 01i2'1!201 a Mc1hod oi payncnt: Ca.sh | Payricnl ol Invoice #80623</t>
        </is>
      </c>
      <c r="N30" s="3" t="inlineStr">
        <is>
          <t>NO</t>
        </is>
      </c>
    </row>
    <row r="31">
      <c r="A31" s="3" t="inlineStr">
        <is>
          <t>E00030</t>
        </is>
      </c>
      <c r="B31" s="3" t="inlineStr">
        <is>
          <t>HT-VALCIN-PROP</t>
        </is>
      </c>
      <c r="C31" s="3" t="inlineStr">
        <is>
          <t>I-SPOLIATION</t>
        </is>
      </c>
      <c r="D31" s="3" t="inlineStr">
        <is>
          <t>BLOCKS</t>
        </is>
      </c>
      <c r="E31" s="3" t="inlineStr">
        <is>
          <t>ROA_SPINE</t>
        </is>
      </c>
      <c r="F31" s="3" t="inlineStr"/>
      <c r="G31" s="3" t="inlineStr"/>
      <c r="H31" s="3" t="inlineStr"/>
      <c r="I31" s="3" t="n">
        <v>0</v>
      </c>
      <c r="J31" s="3" t="inlineStr">
        <is>
          <t>UNREVIEWED</t>
        </is>
      </c>
      <c r="K31" s="3" t="inlineStr">
        <is>
          <t>Populate Valcin proposition text from approved source (no web unless allowed).</t>
        </is>
      </c>
      <c r="L31" s="3" t="inlineStr">
        <is>
          <t>High</t>
        </is>
      </c>
      <c r="M31" s="3" t="n"/>
      <c r="N31" s="3" t="inlineStr">
        <is>
          <t>NO</t>
        </is>
      </c>
    </row>
    <row r="32">
      <c r="A32" s="3" t="inlineStr">
        <is>
          <t>E00031</t>
        </is>
      </c>
      <c r="B32" s="3" t="inlineStr">
        <is>
          <t>HT-POLICE-REPORT</t>
        </is>
      </c>
      <c r="C32" s="3" t="inlineStr">
        <is>
          <t>I-SPOLIATION</t>
        </is>
      </c>
      <c r="D32" s="3" t="inlineStr">
        <is>
          <t>BLOCKS</t>
        </is>
      </c>
      <c r="E32" s="3" t="inlineStr">
        <is>
          <t>ROA_SPINE</t>
        </is>
      </c>
      <c r="F32" s="3" t="inlineStr"/>
      <c r="G32" s="3" t="inlineStr"/>
      <c r="H32" s="3" t="inlineStr"/>
      <c r="I32" s="3" t="n">
        <v>0</v>
      </c>
      <c r="J32" s="3" t="inlineStr">
        <is>
          <t>UNREVIEWED</t>
        </is>
      </c>
      <c r="K32" s="3" t="inlineStr">
        <is>
          <t>Ingest Police Report #2019-00042552 into RecordItems with quote-ready excerpt.</t>
        </is>
      </c>
      <c r="L32" s="3" t="inlineStr">
        <is>
          <t>High</t>
        </is>
      </c>
      <c r="M32" s="3" t="n"/>
      <c r="N32" s="3" t="inlineStr">
        <is>
          <t>NO</t>
        </is>
      </c>
    </row>
    <row r="33">
      <c r="A33" s="3" t="inlineStr">
        <is>
          <t>E00032</t>
        </is>
      </c>
      <c r="B33" s="3" t="inlineStr">
        <is>
          <t>HT-DRIMMER-PDF</t>
        </is>
      </c>
      <c r="C33" s="3" t="inlineStr">
        <is>
          <t>I-DAMAGES</t>
        </is>
      </c>
      <c r="D33" s="3" t="inlineStr">
        <is>
          <t>BLOCKS</t>
        </is>
      </c>
      <c r="E33" s="3" t="inlineStr">
        <is>
          <t>ROA_SPINE</t>
        </is>
      </c>
      <c r="F33" s="3" t="inlineStr"/>
      <c r="G33" s="3" t="inlineStr"/>
      <c r="H33" s="3" t="inlineStr"/>
      <c r="I33" s="3" t="n">
        <v>0</v>
      </c>
      <c r="J33" s="3" t="inlineStr">
        <is>
          <t>UNREVIEWED</t>
        </is>
      </c>
      <c r="K33" s="3" t="inlineStr">
        <is>
          <t>Extract clean Drimmer exhibit quote (ESTIMATE/DELIVERY ONLY) from ROA PDF for use in brief.</t>
        </is>
      </c>
      <c r="L33" s="3" t="inlineStr">
        <is>
          <t>High</t>
        </is>
      </c>
      <c r="M33" s="3" t="n"/>
      <c r="N33" s="3" t="inlineStr">
        <is>
          <t>NO</t>
        </is>
      </c>
    </row>
    <row r="34">
      <c r="A34" s="3" t="inlineStr">
        <is>
          <t>E00033</t>
        </is>
      </c>
      <c r="B34" s="3" t="inlineStr">
        <is>
          <t>2020-000746-CA-01</t>
        </is>
      </c>
      <c r="C34" s="3" t="inlineStr">
        <is>
          <t>2018-011311-CC-05</t>
        </is>
      </c>
      <c r="D34" s="3" t="inlineStr">
        <is>
          <t>TRANSFERRED_FROM</t>
        </is>
      </c>
      <c r="E34" s="3" t="inlineStr">
        <is>
          <t>ROA_SPINE</t>
        </is>
      </c>
      <c r="F34" s="3" t="inlineStr"/>
      <c r="G34" s="3" t="inlineStr"/>
      <c r="H34" s="3" t="inlineStr">
        <is>
          <t>Related Cases Case Number: 2018-011311-CC-05 Filing Date: 05/18/2018</t>
        </is>
      </c>
      <c r="I34" s="3" t="n">
        <v>13</v>
      </c>
      <c r="J34" s="3" t="inlineStr">
        <is>
          <t>UNREVIEWED</t>
        </is>
      </c>
      <c r="K34" s="3" t="inlineStr">
        <is>
          <t>Imported from JSON</t>
        </is>
      </c>
      <c r="L34" s="3" t="inlineStr">
        <is>
          <t>Medium</t>
        </is>
      </c>
      <c r="M34" s="3" t="n"/>
      <c r="N34" s="3" t="inlineStr">
        <is>
          <t>YES</t>
        </is>
      </c>
    </row>
    <row r="35">
      <c r="A35" s="3" t="inlineStr">
        <is>
          <t>E00034</t>
        </is>
      </c>
      <c r="B35" s="3" t="inlineStr">
        <is>
          <t>2018-011311-CC-05</t>
        </is>
      </c>
      <c r="C35" s="3" t="inlineStr">
        <is>
          <t>2020-000746-CA-01</t>
        </is>
      </c>
      <c r="D35" s="3" t="inlineStr">
        <is>
          <t>TRANSFERRED_TO</t>
        </is>
      </c>
      <c r="E35" s="3" t="inlineStr">
        <is>
          <t>ROA_SPINE</t>
        </is>
      </c>
      <c r="F35" s="3" t="inlineStr"/>
      <c r="G35" s="3" t="inlineStr"/>
      <c r="H35" s="3" t="inlineStr">
        <is>
          <t>Case Type: Contract and Indebtedness ($8,001- $15,000)</t>
        </is>
      </c>
      <c r="I35" s="3" t="n">
        <v>9</v>
      </c>
      <c r="J35" s="3" t="inlineStr">
        <is>
          <t>UNREVIEWED</t>
        </is>
      </c>
      <c r="K35" s="3" t="inlineStr">
        <is>
          <t>Imported from JSON</t>
        </is>
      </c>
      <c r="L35" s="3" t="inlineStr">
        <is>
          <t>Medium</t>
        </is>
      </c>
      <c r="M35" s="3" t="n"/>
      <c r="N35" s="3" t="inlineStr">
        <is>
          <t>YES</t>
        </is>
      </c>
    </row>
    <row r="36">
      <c r="A36" s="3" t="inlineStr">
        <is>
          <t>E00035</t>
        </is>
      </c>
      <c r="B36" s="3" t="inlineStr">
        <is>
          <t>3D25-1676</t>
        </is>
      </c>
      <c r="C36" s="3" t="inlineStr">
        <is>
          <t>2020-000746-CA-01</t>
        </is>
      </c>
      <c r="D36" s="3" t="inlineStr">
        <is>
          <t>APPEAL_OF</t>
        </is>
      </c>
      <c r="E36" s="3" t="inlineStr">
        <is>
          <t>ROA_SPINE</t>
        </is>
      </c>
      <c r="F36" s="3" t="inlineStr"/>
      <c r="G36" s="3" t="inlineStr"/>
      <c r="H36" s="3" t="inlineStr">
        <is>
          <t>Notice of Appeal Event [DIN 170, 09/02/2025]</t>
        </is>
      </c>
      <c r="I36" s="3" t="n">
        <v>9</v>
      </c>
      <c r="J36" s="3" t="inlineStr">
        <is>
          <t>UNREVIEWED</t>
        </is>
      </c>
      <c r="K36" s="3" t="inlineStr">
        <is>
          <t>Imported from JSON</t>
        </is>
      </c>
      <c r="L36" s="3" t="inlineStr">
        <is>
          <t>Medium</t>
        </is>
      </c>
      <c r="M36" s="3" t="n"/>
      <c r="N36" s="3" t="inlineStr">
        <is>
          <t>YES</t>
        </is>
      </c>
    </row>
    <row r="37">
      <c r="A37" s="3" t="inlineStr">
        <is>
          <t>E00036</t>
        </is>
      </c>
      <c r="B37" s="3" t="inlineStr">
        <is>
          <t>ELI_COHEN</t>
        </is>
      </c>
      <c r="C37" s="3" t="inlineStr">
        <is>
          <t>2020-000746-CA-01</t>
        </is>
      </c>
      <c r="D37" s="3" t="inlineStr">
        <is>
          <t>PLAINTIFF_IN</t>
        </is>
      </c>
      <c r="E37" s="3" t="inlineStr">
        <is>
          <t>ROA_SPINE</t>
        </is>
      </c>
      <c r="F37" s="3" t="inlineStr"/>
      <c r="G37" s="3" t="inlineStr"/>
      <c r="H37" s="3" t="inlineStr">
        <is>
          <t>Case Style: ELI COHEN vs JEFF ATLAS et al</t>
        </is>
      </c>
      <c r="I37" s="3" t="n">
        <v>9</v>
      </c>
      <c r="J37" s="3" t="inlineStr">
        <is>
          <t>UNREVIEWED</t>
        </is>
      </c>
      <c r="K37" s="3" t="inlineStr">
        <is>
          <t>Imported from JSON</t>
        </is>
      </c>
      <c r="L37" s="3" t="inlineStr">
        <is>
          <t>Medium</t>
        </is>
      </c>
      <c r="M37" s="3" t="n"/>
      <c r="N37" s="3" t="inlineStr">
        <is>
          <t>YES</t>
        </is>
      </c>
    </row>
    <row r="38">
      <c r="A38" s="3" t="inlineStr">
        <is>
          <t>E00037</t>
        </is>
      </c>
      <c r="B38" s="3" t="inlineStr">
        <is>
          <t>JEFF_ATLAS</t>
        </is>
      </c>
      <c r="C38" s="3" t="inlineStr">
        <is>
          <t>2020-000746-CA-01</t>
        </is>
      </c>
      <c r="D38" s="3" t="inlineStr">
        <is>
          <t>DEFENDANT_IN</t>
        </is>
      </c>
      <c r="E38" s="3" t="inlineStr">
        <is>
          <t>ROA_SPINE</t>
        </is>
      </c>
      <c r="F38" s="3" t="inlineStr"/>
      <c r="G38" s="3" t="inlineStr"/>
      <c r="H38" s="3" t="inlineStr"/>
      <c r="I38" s="3" t="n">
        <v>3</v>
      </c>
      <c r="J38" s="3" t="inlineStr">
        <is>
          <t>UNREVIEWED</t>
        </is>
      </c>
      <c r="K38" s="3" t="inlineStr">
        <is>
          <t>Imported from JSON</t>
        </is>
      </c>
      <c r="L38" s="3" t="inlineStr">
        <is>
          <t>Medium</t>
        </is>
      </c>
      <c r="M38" s="3" t="inlineStr">
        <is>
          <t>Defendant ATLAS, JEFF</t>
        </is>
      </c>
      <c r="N38" s="3" t="inlineStr">
        <is>
          <t>NO</t>
        </is>
      </c>
    </row>
    <row r="39">
      <c r="A39" s="3" t="inlineStr">
        <is>
          <t>E00038</t>
        </is>
      </c>
      <c r="B39" s="3" t="inlineStr">
        <is>
          <t>SUSAN_ATLAS</t>
        </is>
      </c>
      <c r="C39" s="3" t="inlineStr">
        <is>
          <t>2020-000746-CA-01</t>
        </is>
      </c>
      <c r="D39" s="3" t="inlineStr">
        <is>
          <t>DEFENDANT_IN</t>
        </is>
      </c>
      <c r="E39" s="3" t="inlineStr">
        <is>
          <t>ROA_SPINE</t>
        </is>
      </c>
      <c r="F39" s="3" t="inlineStr"/>
      <c r="G39" s="3" t="inlineStr"/>
      <c r="H39" s="3" t="inlineStr"/>
      <c r="I39" s="3" t="n">
        <v>3</v>
      </c>
      <c r="J39" s="3" t="inlineStr">
        <is>
          <t>UNREVIEWED</t>
        </is>
      </c>
      <c r="K39" s="3" t="inlineStr">
        <is>
          <t>Imported from JSON</t>
        </is>
      </c>
      <c r="L39" s="3" t="inlineStr">
        <is>
          <t>Medium</t>
        </is>
      </c>
      <c r="M39" s="3" t="inlineStr">
        <is>
          <t>Defendant ATLAS, SUSAN</t>
        </is>
      </c>
      <c r="N39" s="3" t="inlineStr">
        <is>
          <t>NO</t>
        </is>
      </c>
    </row>
    <row r="40">
      <c r="A40" s="3" t="inlineStr">
        <is>
          <t>E00039</t>
        </is>
      </c>
      <c r="B40" s="3" t="inlineStr">
        <is>
          <t>HABER_LAW_LLP</t>
        </is>
      </c>
      <c r="C40" s="3" t="inlineStr">
        <is>
          <t>ELI_COHEN</t>
        </is>
      </c>
      <c r="D40" s="3" t="inlineStr">
        <is>
          <t>REPRESENTS</t>
        </is>
      </c>
      <c r="E40" s="3" t="inlineStr">
        <is>
          <t>ROA_SPINE</t>
        </is>
      </c>
      <c r="F40" s="3" t="inlineStr"/>
      <c r="G40" s="3" t="inlineStr"/>
      <c r="H40" s="3" t="inlineStr">
        <is>
          <t>HABER LAW, LLP 251 NW 23rd Street Miami, Florida 33127</t>
        </is>
      </c>
      <c r="I40" s="3" t="n">
        <v>10</v>
      </c>
      <c r="J40" s="3" t="inlineStr">
        <is>
          <t>UNREVIEWED</t>
        </is>
      </c>
      <c r="K40" s="3" t="inlineStr">
        <is>
          <t>Imported from JSON</t>
        </is>
      </c>
      <c r="L40" s="3" t="inlineStr">
        <is>
          <t>Medium</t>
        </is>
      </c>
      <c r="M40" s="3" t="n"/>
      <c r="N40" s="3" t="inlineStr">
        <is>
          <t>YES</t>
        </is>
      </c>
    </row>
    <row r="41">
      <c r="A41" s="3" t="inlineStr">
        <is>
          <t>E00040</t>
        </is>
      </c>
      <c r="B41" s="3" t="inlineStr">
        <is>
          <t>Ariella_J_Gutman</t>
        </is>
      </c>
      <c r="C41" s="3" t="inlineStr">
        <is>
          <t>ELI_COHEN</t>
        </is>
      </c>
      <c r="D41" s="3" t="inlineStr">
        <is>
          <t>COUNSEL_FOR</t>
        </is>
      </c>
      <c r="E41" s="3" t="inlineStr">
        <is>
          <t>ROA_SPINE</t>
        </is>
      </c>
      <c r="F41" s="3" t="inlineStr"/>
      <c r="G41" s="3" t="inlineStr"/>
      <c r="H41" s="3" t="inlineStr">
        <is>
          <t>ARIELLA J. GUTMAN, ESQ. Fla Bar No. 91447 agutman@haber.law</t>
        </is>
      </c>
      <c r="I41" s="3" t="n">
        <v>11</v>
      </c>
      <c r="J41" s="3" t="inlineStr">
        <is>
          <t>UNREVIEWED</t>
        </is>
      </c>
      <c r="K41" s="3" t="inlineStr">
        <is>
          <t>Imported from JSON</t>
        </is>
      </c>
      <c r="L41" s="3" t="inlineStr">
        <is>
          <t>Medium</t>
        </is>
      </c>
      <c r="M41" s="3" t="n"/>
      <c r="N41" s="3" t="inlineStr">
        <is>
          <t>YES</t>
        </is>
      </c>
    </row>
    <row r="42">
      <c r="A42" s="3" t="inlineStr">
        <is>
          <t>E00041</t>
        </is>
      </c>
      <c r="B42" s="3" t="inlineStr">
        <is>
          <t>Simone_M_Honeygan</t>
        </is>
      </c>
      <c r="C42" s="3" t="inlineStr">
        <is>
          <t>ELI_COHEN</t>
        </is>
      </c>
      <c r="D42" s="3" t="inlineStr">
        <is>
          <t>COUNSEL_FOR</t>
        </is>
      </c>
      <c r="E42" s="3" t="inlineStr">
        <is>
          <t>ROA_SPINE</t>
        </is>
      </c>
      <c r="F42" s="3" t="inlineStr"/>
      <c r="G42" s="3" t="inlineStr"/>
      <c r="H42" s="3" t="inlineStr">
        <is>
          <t>SIMONE M. HONEYGAN, ESQ. Florida Bar No. 1026030 shoneygan@haber.law</t>
        </is>
      </c>
      <c r="I42" s="3" t="n">
        <v>11</v>
      </c>
      <c r="J42" s="3" t="inlineStr">
        <is>
          <t>UNREVIEWED</t>
        </is>
      </c>
      <c r="K42" s="3" t="inlineStr">
        <is>
          <t>Imported from JSON</t>
        </is>
      </c>
      <c r="L42" s="3" t="inlineStr">
        <is>
          <t>Medium</t>
        </is>
      </c>
      <c r="M42" s="3" t="n"/>
      <c r="N42" s="3" t="inlineStr">
        <is>
          <t>YES</t>
        </is>
      </c>
    </row>
    <row r="43">
      <c r="A43" s="3" t="inlineStr">
        <is>
          <t>E00042</t>
        </is>
      </c>
      <c r="B43" s="3" t="inlineStr">
        <is>
          <t>David_B_Haber</t>
        </is>
      </c>
      <c r="C43" s="3" t="inlineStr">
        <is>
          <t>HABER_LAW_LLP</t>
        </is>
      </c>
      <c r="D43" s="3" t="inlineStr">
        <is>
          <t>PARTNER_AT</t>
        </is>
      </c>
      <c r="E43" s="3" t="inlineStr">
        <is>
          <t>ROA_SPINE</t>
        </is>
      </c>
      <c r="F43" s="3" t="inlineStr"/>
      <c r="G43" s="3" t="inlineStr"/>
      <c r="H43" s="3" t="inlineStr"/>
      <c r="I43" s="3" t="n">
        <v>6</v>
      </c>
      <c r="J43" s="3" t="inlineStr">
        <is>
          <t>UNREVIEWED</t>
        </is>
      </c>
      <c r="K43" s="3" t="inlineStr">
        <is>
          <t>Imported from JSON</t>
        </is>
      </c>
      <c r="L43" s="3" t="inlineStr">
        <is>
          <t>Medium</t>
        </is>
      </c>
      <c r="M43" s="3" t="inlineStr">
        <is>
          <t>David Brian Haber: dhaber@haber.law</t>
        </is>
      </c>
      <c r="N43" s="3" t="inlineStr">
        <is>
          <t>NO</t>
        </is>
      </c>
    </row>
    <row r="44">
      <c r="A44" s="3" t="inlineStr">
        <is>
          <t>E00043</t>
        </is>
      </c>
      <c r="B44" s="3" t="inlineStr">
        <is>
          <t>Thomas_Butler</t>
        </is>
      </c>
      <c r="C44" s="3" t="inlineStr">
        <is>
          <t>JEFF_ATLAS</t>
        </is>
      </c>
      <c r="D44" s="3" t="inlineStr">
        <is>
          <t>FORMER_COUNSEL_FOR</t>
        </is>
      </c>
      <c r="E44" s="3" t="inlineStr">
        <is>
          <t>ROA_SPINE</t>
        </is>
      </c>
      <c r="F44" s="3" t="inlineStr"/>
      <c r="G44" s="3" t="inlineStr"/>
      <c r="H44" s="3" t="inlineStr"/>
      <c r="I44" s="3" t="n">
        <v>7</v>
      </c>
      <c r="J44" s="3" t="inlineStr">
        <is>
          <t>UNREVIEWED</t>
        </is>
      </c>
      <c r="K44" s="3" t="inlineStr">
        <is>
          <t>Imported from JSON</t>
        </is>
      </c>
      <c r="L44" s="3" t="inlineStr">
        <is>
          <t>Medium</t>
        </is>
      </c>
      <c r="M44" s="3" t="inlineStr">
        <is>
          <t>Defendant ATLAS, JEFF B#: 569178 Thomas Butler</t>
        </is>
      </c>
      <c r="N44" s="3" t="inlineStr">
        <is>
          <t>NO</t>
        </is>
      </c>
    </row>
    <row r="45">
      <c r="A45" s="3" t="inlineStr">
        <is>
          <t>E00044</t>
        </is>
      </c>
      <c r="B45" s="3" t="inlineStr">
        <is>
          <t>Judge_Reemberto_Diaz</t>
        </is>
      </c>
      <c r="C45" s="3" t="inlineStr">
        <is>
          <t>2020-000746-CA-01</t>
        </is>
      </c>
      <c r="D45" s="3" t="inlineStr">
        <is>
          <t>PRESIDES_OVER</t>
        </is>
      </c>
      <c r="E45" s="3" t="inlineStr">
        <is>
          <t>ROA_SPINE</t>
        </is>
      </c>
      <c r="F45" s="3" t="inlineStr"/>
      <c r="G45" s="3" t="inlineStr"/>
      <c r="H45" s="3" t="inlineStr"/>
      <c r="I45" s="3" t="n">
        <v>7</v>
      </c>
      <c r="J45" s="3" t="inlineStr">
        <is>
          <t>UNREVIEWED</t>
        </is>
      </c>
      <c r="K45" s="3" t="inlineStr">
        <is>
          <t>Imported from JSON</t>
        </is>
      </c>
      <c r="L45" s="3" t="inlineStr">
        <is>
          <t>Medium</t>
        </is>
      </c>
      <c r="M45" s="3" t="inlineStr">
        <is>
          <t>Judicial Section: CA30 - Downtown Miami - JudgeDiaz, Reemberto</t>
        </is>
      </c>
      <c r="N45" s="3" t="inlineStr">
        <is>
          <t>NO</t>
        </is>
      </c>
    </row>
    <row r="46">
      <c r="A46" s="3" t="inlineStr">
        <is>
          <t>E00045</t>
        </is>
      </c>
      <c r="B46" s="3" t="inlineStr">
        <is>
          <t>Judge_Ruiz</t>
        </is>
      </c>
      <c r="C46" s="3" t="inlineStr">
        <is>
          <t>CIR-126</t>
        </is>
      </c>
      <c r="D46" s="3" t="inlineStr">
        <is>
          <t>DISQUALIFIED_BY</t>
        </is>
      </c>
      <c r="E46" s="3" t="inlineStr">
        <is>
          <t>ROA_SPINE</t>
        </is>
      </c>
      <c r="F46" s="3" t="inlineStr"/>
      <c r="G46" s="3" t="inlineStr"/>
      <c r="H46" s="3" t="inlineStr">
        <is>
          <t>Order Granting Disqualification (Ruiz) [DIN 126, 10/11/2024]</t>
        </is>
      </c>
      <c r="I46" s="3" t="n">
        <v>9</v>
      </c>
      <c r="J46" s="3" t="inlineStr">
        <is>
          <t>UNREVIEWED</t>
        </is>
      </c>
      <c r="K46" s="3" t="inlineStr">
        <is>
          <t>Imported from JSON</t>
        </is>
      </c>
      <c r="L46" s="3" t="inlineStr">
        <is>
          <t>Medium</t>
        </is>
      </c>
      <c r="M46" s="3" t="n"/>
      <c r="N46" s="3" t="inlineStr">
        <is>
          <t>YES</t>
        </is>
      </c>
    </row>
    <row r="47">
      <c r="A47" s="3" t="inlineStr">
        <is>
          <t>E00046</t>
        </is>
      </c>
      <c r="B47" s="3" t="inlineStr">
        <is>
          <t>Judge_Del_Rio</t>
        </is>
      </c>
      <c r="C47" s="3" t="inlineStr">
        <is>
          <t>CIR-142</t>
        </is>
      </c>
      <c r="D47" s="3" t="inlineStr">
        <is>
          <t>RECUSED_VIA</t>
        </is>
      </c>
      <c r="E47" s="3" t="inlineStr">
        <is>
          <t>ROA_SPINE</t>
        </is>
      </c>
      <c r="F47" s="3" t="inlineStr"/>
      <c r="G47" s="3" t="inlineStr"/>
      <c r="H47" s="3" t="inlineStr">
        <is>
          <t>Order of Recusal (Del Rio) [DIN 142, 01/17/2025] - Del Rio recused; to CA30 Diaz</t>
        </is>
      </c>
      <c r="I47" s="3" t="n">
        <v>16</v>
      </c>
      <c r="J47" s="3" t="inlineStr">
        <is>
          <t>UNREVIEWED</t>
        </is>
      </c>
      <c r="K47" s="3" t="inlineStr">
        <is>
          <t>Imported from JSON</t>
        </is>
      </c>
      <c r="L47" s="3" t="inlineStr">
        <is>
          <t>Medium</t>
        </is>
      </c>
      <c r="M47" s="3" t="n"/>
      <c r="N47" s="3" t="inlineStr">
        <is>
          <t>YES</t>
        </is>
      </c>
    </row>
    <row r="48">
      <c r="A48" s="3" t="inlineStr">
        <is>
          <t>E00047</t>
        </is>
      </c>
      <c r="B48" s="3" t="inlineStr">
        <is>
          <t>DIN-169</t>
        </is>
      </c>
      <c r="C48" s="3" t="inlineStr">
        <is>
          <t>Judge_Reemberto_Diaz</t>
        </is>
      </c>
      <c r="D48" s="3" t="inlineStr">
        <is>
          <t>ENTERED_BY</t>
        </is>
      </c>
      <c r="E48" s="3" t="inlineStr">
        <is>
          <t>ROA_SPINE</t>
        </is>
      </c>
      <c r="F48" s="3" t="inlineStr"/>
      <c r="G48" s="3" t="inlineStr"/>
      <c r="H48" s="3" t="inlineStr">
        <is>
          <t>Summary Final Judgment [DIN 169, 08/02/2025] Record_Pages: 1341-1354</t>
        </is>
      </c>
      <c r="I48" s="3" t="n">
        <v>11</v>
      </c>
      <c r="J48" s="3" t="inlineStr">
        <is>
          <t>UNREVIEWED</t>
        </is>
      </c>
      <c r="K48" s="3" t="inlineStr">
        <is>
          <t>Imported from JSON</t>
        </is>
      </c>
      <c r="L48" s="3" t="inlineStr">
        <is>
          <t>Medium</t>
        </is>
      </c>
      <c r="M48" s="3" t="n"/>
      <c r="N48" s="3" t="inlineStr">
        <is>
          <t>YES</t>
        </is>
      </c>
    </row>
    <row r="49">
      <c r="A49" s="3" t="inlineStr">
        <is>
          <t>E00048</t>
        </is>
      </c>
      <c r="B49" s="3" t="inlineStr">
        <is>
          <t>DIN-169</t>
        </is>
      </c>
      <c r="C49" s="3" t="inlineStr">
        <is>
          <t>I-SUMMARY</t>
        </is>
      </c>
      <c r="D49" s="3" t="inlineStr">
        <is>
          <t>TAGGED_ISSUE</t>
        </is>
      </c>
      <c r="E49" s="3" t="inlineStr">
        <is>
          <t>ROA_SPINE</t>
        </is>
      </c>
      <c r="F49" s="3" t="inlineStr"/>
      <c r="G49" s="3" t="inlineStr"/>
      <c r="H49" s="3" t="inlineStr">
        <is>
          <t>Grants SJ all counts; awards fees under Lease + §83.48</t>
        </is>
      </c>
      <c r="I49" s="3" t="n">
        <v>10</v>
      </c>
      <c r="J49" s="3" t="inlineStr">
        <is>
          <t>UNREVIEWED</t>
        </is>
      </c>
      <c r="K49" s="3" t="inlineStr">
        <is>
          <t>Imported from JSON</t>
        </is>
      </c>
      <c r="L49" s="3" t="inlineStr">
        <is>
          <t>Medium</t>
        </is>
      </c>
      <c r="M49" s="3" t="n"/>
      <c r="N49" s="3" t="inlineStr">
        <is>
          <t>YES</t>
        </is>
      </c>
    </row>
    <row r="50">
      <c r="A50" s="3" t="inlineStr">
        <is>
          <t>E00049</t>
        </is>
      </c>
      <c r="B50" s="3" t="inlineStr">
        <is>
          <t>DIN-99</t>
        </is>
      </c>
      <c r="C50" s="3" t="inlineStr">
        <is>
          <t>JEFF_ATLAS</t>
        </is>
      </c>
      <c r="D50" s="3" t="inlineStr">
        <is>
          <t>FILED_BY</t>
        </is>
      </c>
      <c r="E50" s="3" t="inlineStr">
        <is>
          <t>ROA_SPINE</t>
        </is>
      </c>
      <c r="F50" s="3" t="inlineStr"/>
      <c r="G50" s="3" t="inlineStr"/>
      <c r="H50" s="3" t="inlineStr">
        <is>
          <t>Defendants Motion for Summary Judgment [DIN 99, 03/08/2024] Record_Pages: 326-339</t>
        </is>
      </c>
      <c r="I50" s="3" t="n">
        <v>13</v>
      </c>
      <c r="J50" s="3" t="inlineStr">
        <is>
          <t>UNREVIEWED</t>
        </is>
      </c>
      <c r="K50" s="3" t="inlineStr">
        <is>
          <t>Imported from JSON</t>
        </is>
      </c>
      <c r="L50" s="3" t="inlineStr">
        <is>
          <t>Medium</t>
        </is>
      </c>
      <c r="M50" s="3" t="n"/>
      <c r="N50" s="3" t="inlineStr">
        <is>
          <t>YES</t>
        </is>
      </c>
    </row>
    <row r="51">
      <c r="A51" s="3" t="inlineStr">
        <is>
          <t>E00050</t>
        </is>
      </c>
      <c r="B51" s="3" t="inlineStr">
        <is>
          <t>DIN-109</t>
        </is>
      </c>
      <c r="C51" s="3" t="inlineStr">
        <is>
          <t>Judge_Ruiz</t>
        </is>
      </c>
      <c r="D51" s="3" t="inlineStr">
        <is>
          <t>ENTERED_BY</t>
        </is>
      </c>
      <c r="E51" s="3" t="inlineStr">
        <is>
          <t>ROA_SPINE</t>
        </is>
      </c>
      <c r="F51" s="3" t="inlineStr"/>
      <c r="G51" s="3" t="inlineStr"/>
      <c r="H51" s="3" t="inlineStr">
        <is>
          <t>Order Denying Defendants MSJ [DIN 109, 06/05/2024] - No evidence presented; factual dispute</t>
        </is>
      </c>
      <c r="I51" s="3" t="n">
        <v>14</v>
      </c>
      <c r="J51" s="3" t="inlineStr">
        <is>
          <t>UNREVIEWED</t>
        </is>
      </c>
      <c r="K51" s="3" t="inlineStr">
        <is>
          <t>Imported from JSON</t>
        </is>
      </c>
      <c r="L51" s="3" t="inlineStr">
        <is>
          <t>Medium</t>
        </is>
      </c>
      <c r="M51" s="3" t="n"/>
      <c r="N51" s="3" t="inlineStr">
        <is>
          <t>YES</t>
        </is>
      </c>
    </row>
    <row r="52">
      <c r="A52" s="3" t="inlineStr">
        <is>
          <t>E00051</t>
        </is>
      </c>
      <c r="B52" s="3" t="inlineStr">
        <is>
          <t>DIN-135</t>
        </is>
      </c>
      <c r="C52" s="3" t="inlineStr">
        <is>
          <t>JEFF_ATLAS</t>
        </is>
      </c>
      <c r="D52" s="3" t="inlineStr">
        <is>
          <t>FILED_BY</t>
        </is>
      </c>
      <c r="E52" s="3" t="inlineStr">
        <is>
          <t>ROA_SPINE</t>
        </is>
      </c>
      <c r="F52" s="3" t="inlineStr"/>
      <c r="G52" s="3" t="inlineStr"/>
      <c r="H52" s="3" t="inlineStr">
        <is>
          <t>Amended Renewed MSJ + Sanctions [DIN 135, 12/22/2024] Record_Pages: 714-840 (127 pages)</t>
        </is>
      </c>
      <c r="I52" s="3" t="n">
        <v>14</v>
      </c>
      <c r="J52" s="3" t="inlineStr">
        <is>
          <t>UNREVIEWED</t>
        </is>
      </c>
      <c r="K52" s="3" t="inlineStr">
        <is>
          <t>Imported from JSON</t>
        </is>
      </c>
      <c r="L52" s="3" t="inlineStr">
        <is>
          <t>Medium</t>
        </is>
      </c>
      <c r="M52" s="3" t="n"/>
      <c r="N52" s="3" t="inlineStr">
        <is>
          <t>YES</t>
        </is>
      </c>
    </row>
    <row r="53">
      <c r="A53" s="3" t="inlineStr">
        <is>
          <t>E00052</t>
        </is>
      </c>
      <c r="B53" s="3" t="inlineStr">
        <is>
          <t>DIN-161</t>
        </is>
      </c>
      <c r="C53" s="3" t="inlineStr">
        <is>
          <t>Judge_Reemberto_Diaz</t>
        </is>
      </c>
      <c r="D53" s="3" t="inlineStr">
        <is>
          <t>ENTERED_BY</t>
        </is>
      </c>
      <c r="E53" s="3" t="inlineStr">
        <is>
          <t>ROA_SPINE</t>
        </is>
      </c>
      <c r="F53" s="3" t="inlineStr"/>
      <c r="G53" s="3" t="inlineStr"/>
      <c r="H53" s="3" t="inlineStr">
        <is>
          <t>Order Denying Amended Renewed MSJ [DIN 161, 04/01/2025] - Treats as reconsideration; reasons on record</t>
        </is>
      </c>
      <c r="I53" s="3" t="n">
        <v>16</v>
      </c>
      <c r="J53" s="3" t="inlineStr">
        <is>
          <t>UNREVIEWED</t>
        </is>
      </c>
      <c r="K53" s="3" t="inlineStr">
        <is>
          <t>Imported from JSON</t>
        </is>
      </c>
      <c r="L53" s="3" t="inlineStr">
        <is>
          <t>Medium</t>
        </is>
      </c>
      <c r="M53" s="3" t="n"/>
      <c r="N53" s="3" t="inlineStr">
        <is>
          <t>YES</t>
        </is>
      </c>
    </row>
    <row r="54">
      <c r="A54" s="3" t="inlineStr">
        <is>
          <t>E00053</t>
        </is>
      </c>
      <c r="B54" s="3" t="inlineStr">
        <is>
          <t>DIN-164</t>
        </is>
      </c>
      <c r="C54" s="3" t="inlineStr">
        <is>
          <t>ELI_COHEN</t>
        </is>
      </c>
      <c r="D54" s="3" t="inlineStr">
        <is>
          <t>FILED_BY</t>
        </is>
      </c>
      <c r="E54" s="3" t="inlineStr">
        <is>
          <t>ROA_SPINE</t>
        </is>
      </c>
      <c r="F54" s="3" t="inlineStr"/>
      <c r="G54" s="3" t="inlineStr"/>
      <c r="H54" s="3" t="inlineStr">
        <is>
          <t>Plaintiff Motion for Summary Judgment [DIN 164, 05/01/2025] Record_Pages: 1137-1301 (165 pages)</t>
        </is>
      </c>
      <c r="I54" s="3" t="n">
        <v>15</v>
      </c>
      <c r="J54" s="3" t="inlineStr">
        <is>
          <t>UNREVIEWED</t>
        </is>
      </c>
      <c r="K54" s="3" t="inlineStr">
        <is>
          <t>Imported from JSON</t>
        </is>
      </c>
      <c r="L54" s="3" t="inlineStr">
        <is>
          <t>Medium</t>
        </is>
      </c>
      <c r="M54" s="3" t="n"/>
      <c r="N54" s="3" t="inlineStr">
        <is>
          <t>YES</t>
        </is>
      </c>
    </row>
    <row r="55">
      <c r="A55" s="3" t="inlineStr">
        <is>
          <t>E00054</t>
        </is>
      </c>
      <c r="B55" s="3" t="inlineStr">
        <is>
          <t>DIN-148</t>
        </is>
      </c>
      <c r="C55" s="3" t="inlineStr">
        <is>
          <t>JEFF_ATLAS</t>
        </is>
      </c>
      <c r="D55" s="3" t="inlineStr">
        <is>
          <t>FILED_BY</t>
        </is>
      </c>
      <c r="E55" s="3" t="inlineStr">
        <is>
          <t>ROA_SPINE</t>
        </is>
      </c>
      <c r="F55" s="3" t="inlineStr"/>
      <c r="G55" s="3" t="inlineStr"/>
      <c r="H55" s="3" t="inlineStr">
        <is>
          <t>Defendants Reply to Opposition [DIN 148, 02/10/2025] Record_Pages: 1036-1039</t>
        </is>
      </c>
      <c r="I55" s="3" t="n">
        <v>12</v>
      </c>
      <c r="J55" s="3" t="inlineStr">
        <is>
          <t>UNREVIEWED</t>
        </is>
      </c>
      <c r="K55" s="3" t="inlineStr">
        <is>
          <t>Imported from JSON</t>
        </is>
      </c>
      <c r="L55" s="3" t="inlineStr">
        <is>
          <t>Medium</t>
        </is>
      </c>
      <c r="M55" s="3" t="n"/>
      <c r="N55" s="3" t="inlineStr">
        <is>
          <t>YES</t>
        </is>
      </c>
    </row>
    <row r="56">
      <c r="A56" s="3" t="inlineStr">
        <is>
          <t>E00055</t>
        </is>
      </c>
      <c r="B56" s="3" t="inlineStr">
        <is>
          <t>DIN-151</t>
        </is>
      </c>
      <c r="C56" s="3" t="inlineStr">
        <is>
          <t>JEFF_ATLAS</t>
        </is>
      </c>
      <c r="D56" s="3" t="inlineStr">
        <is>
          <t>FILED_BY</t>
        </is>
      </c>
      <c r="E56" s="3" t="inlineStr">
        <is>
          <t>ROA_SPINE</t>
        </is>
      </c>
      <c r="F56" s="3" t="inlineStr"/>
      <c r="G56" s="3" t="inlineStr"/>
      <c r="H56" s="3" t="inlineStr">
        <is>
          <t>Motion for Mandatory Transfer to County [DIN 151, 03/01/2025] - $12,726.49 judicial admission</t>
        </is>
      </c>
      <c r="I56" s="3" t="n">
        <v>16</v>
      </c>
      <c r="J56" s="3" t="inlineStr">
        <is>
          <t>UNREVIEWED</t>
        </is>
      </c>
      <c r="K56" s="3" t="inlineStr">
        <is>
          <t>Imported from JSON</t>
        </is>
      </c>
      <c r="L56" s="3" t="inlineStr">
        <is>
          <t>Medium</t>
        </is>
      </c>
      <c r="M56" s="3" t="n"/>
      <c r="N56" s="3" t="inlineStr">
        <is>
          <t>YES</t>
        </is>
      </c>
    </row>
    <row r="57">
      <c r="A57" s="3" t="inlineStr">
        <is>
          <t>E00056</t>
        </is>
      </c>
      <c r="B57" s="3" t="inlineStr">
        <is>
          <t>DIN-158</t>
        </is>
      </c>
      <c r="C57" s="3" t="inlineStr">
        <is>
          <t>Judge_Reemberto_Diaz</t>
        </is>
      </c>
      <c r="D57" s="3" t="inlineStr">
        <is>
          <t>ENTERED_BY</t>
        </is>
      </c>
      <c r="E57" s="3" t="inlineStr">
        <is>
          <t>ROA_SPINE</t>
        </is>
      </c>
      <c r="F57" s="3" t="inlineStr"/>
      <c r="G57" s="3" t="inlineStr"/>
      <c r="H57" s="3" t="inlineStr">
        <is>
          <t>Order Denying Mandatory Transfer [DIN 158, 03/19/2025] - DENIED for reasons on record</t>
        </is>
      </c>
      <c r="I57" s="3" t="n">
        <v>14</v>
      </c>
      <c r="J57" s="3" t="inlineStr">
        <is>
          <t>UNREVIEWED</t>
        </is>
      </c>
      <c r="K57" s="3" t="inlineStr">
        <is>
          <t>Imported from JSON</t>
        </is>
      </c>
      <c r="L57" s="3" t="inlineStr">
        <is>
          <t>Medium</t>
        </is>
      </c>
      <c r="M57" s="3" t="n"/>
      <c r="N57" s="3" t="inlineStr">
        <is>
          <t>YES</t>
        </is>
      </c>
    </row>
    <row r="58">
      <c r="A58" s="3" t="inlineStr">
        <is>
          <t>E00057</t>
        </is>
      </c>
      <c r="B58" s="3" t="inlineStr">
        <is>
          <t>DIN-170</t>
        </is>
      </c>
      <c r="C58" s="3" t="inlineStr">
        <is>
          <t>JEFF_ATLAS</t>
        </is>
      </c>
      <c r="D58" s="3" t="inlineStr">
        <is>
          <t>FILED_BY</t>
        </is>
      </c>
      <c r="E58" s="3" t="inlineStr">
        <is>
          <t>ROA_SPINE</t>
        </is>
      </c>
      <c r="F58" s="3" t="inlineStr"/>
      <c r="G58" s="3" t="inlineStr"/>
      <c r="H58" s="3" t="inlineStr">
        <is>
          <t>Notice of Appeal [DIN 170, 09/02/2025] Record_Pages: 1307-1308</t>
        </is>
      </c>
      <c r="I58" s="3" t="n">
        <v>11</v>
      </c>
      <c r="J58" s="3" t="inlineStr">
        <is>
          <t>UNREVIEWED</t>
        </is>
      </c>
      <c r="K58" s="3" t="inlineStr">
        <is>
          <t>Imported from JSON</t>
        </is>
      </c>
      <c r="L58" s="3" t="inlineStr">
        <is>
          <t>Medium</t>
        </is>
      </c>
      <c r="M58" s="3" t="n"/>
      <c r="N58" s="3" t="inlineStr">
        <is>
          <t>YES</t>
        </is>
      </c>
    </row>
    <row r="59">
      <c r="A59" s="3" t="inlineStr">
        <is>
          <t>E00058</t>
        </is>
      </c>
      <c r="B59" s="3" t="inlineStr">
        <is>
          <t>DIN-176</t>
        </is>
      </c>
      <c r="C59" s="3" t="inlineStr">
        <is>
          <t>3D25-1676</t>
        </is>
      </c>
      <c r="D59" s="3" t="inlineStr">
        <is>
          <t>ORDER_IN</t>
        </is>
      </c>
      <c r="E59" s="3" t="inlineStr">
        <is>
          <t>ROA_SPINE</t>
        </is>
      </c>
      <c r="F59" s="3" t="inlineStr"/>
      <c r="G59" s="3" t="inlineStr"/>
      <c r="H59" s="3" t="inlineStr">
        <is>
          <t>3rd DCA Order (Transcripts Non-Compliant) [DIN 176, 10/20/2025] - Transcripts stricken</t>
        </is>
      </c>
      <c r="I59" s="3" t="n">
        <v>13</v>
      </c>
      <c r="J59" s="3" t="inlineStr">
        <is>
          <t>UNREVIEWED</t>
        </is>
      </c>
      <c r="K59" s="3" t="inlineStr">
        <is>
          <t>Imported from JSON</t>
        </is>
      </c>
      <c r="L59" s="3" t="inlineStr">
        <is>
          <t>Medium</t>
        </is>
      </c>
      <c r="M59" s="3" t="n"/>
      <c r="N59" s="3" t="inlineStr">
        <is>
          <t>YES</t>
        </is>
      </c>
    </row>
    <row r="60">
      <c r="A60" s="3" t="inlineStr">
        <is>
          <t>E00059</t>
        </is>
      </c>
      <c r="B60" s="3" t="inlineStr">
        <is>
          <t>DIN-178</t>
        </is>
      </c>
      <c r="C60" s="3" t="inlineStr">
        <is>
          <t>3D25-1676</t>
        </is>
      </c>
      <c r="D60" s="3" t="inlineStr">
        <is>
          <t>ORDER_IN</t>
        </is>
      </c>
      <c r="E60" s="3" t="inlineStr">
        <is>
          <t>ROA_SPINE</t>
        </is>
      </c>
      <c r="F60" s="3" t="inlineStr"/>
      <c r="G60" s="3" t="inlineStr"/>
      <c r="H60" s="3" t="inlineStr">
        <is>
          <t>3rd DCA Order Denying Stay [DIN 178, 10/24/2025]</t>
        </is>
      </c>
      <c r="I60" s="3" t="n">
        <v>10</v>
      </c>
      <c r="J60" s="3" t="inlineStr">
        <is>
          <t>UNREVIEWED</t>
        </is>
      </c>
      <c r="K60" s="3" t="inlineStr">
        <is>
          <t>Imported from JSON</t>
        </is>
      </c>
      <c r="L60" s="3" t="inlineStr">
        <is>
          <t>Medium</t>
        </is>
      </c>
      <c r="M60" s="3" t="n"/>
      <c r="N60" s="3" t="inlineStr">
        <is>
          <t>YES</t>
        </is>
      </c>
    </row>
    <row r="61">
      <c r="A61" s="3" t="inlineStr">
        <is>
          <t>E00060</t>
        </is>
      </c>
      <c r="B61" s="3" t="inlineStr">
        <is>
          <t>E-SEC-01</t>
        </is>
      </c>
      <c r="C61" s="3" t="inlineStr">
        <is>
          <t>I-SECDEP</t>
        </is>
      </c>
      <c r="D61" s="3" t="inlineStr">
        <is>
          <t>SUPPORTS_ISSUE</t>
        </is>
      </c>
      <c r="E61" s="3" t="inlineStr">
        <is>
          <t>ROA_SPINE</t>
        </is>
      </c>
      <c r="F61" s="3" t="inlineStr"/>
      <c r="G61" s="3" t="inlineStr"/>
      <c r="H61" s="3" t="inlineStr">
        <is>
          <t>§83.49(3) notice; $4,200 itemized [dated 01/06/2018]</t>
        </is>
      </c>
      <c r="I61" s="3" t="n">
        <v>11</v>
      </c>
      <c r="J61" s="3" t="inlineStr">
        <is>
          <t>UNREVIEWED</t>
        </is>
      </c>
      <c r="K61" s="3" t="inlineStr">
        <is>
          <t>Imported from JSON</t>
        </is>
      </c>
      <c r="L61" s="3" t="inlineStr">
        <is>
          <t>Medium</t>
        </is>
      </c>
      <c r="M61" s="3" t="n"/>
      <c r="N61" s="3" t="inlineStr">
        <is>
          <t>YES</t>
        </is>
      </c>
    </row>
    <row r="62">
      <c r="A62" s="3" t="inlineStr">
        <is>
          <t>E00061</t>
        </is>
      </c>
      <c r="B62" s="3" t="inlineStr">
        <is>
          <t>E-MOLD-01</t>
        </is>
      </c>
      <c r="C62" s="3" t="inlineStr">
        <is>
          <t>I-MAINT</t>
        </is>
      </c>
      <c r="D62" s="3" t="inlineStr">
        <is>
          <t>SUPPORTS_ISSUE</t>
        </is>
      </c>
      <c r="E62" s="3" t="inlineStr">
        <is>
          <t>ROA_SPINE</t>
        </is>
      </c>
      <c r="F62" s="3" t="inlineStr"/>
      <c r="G62" s="3" t="inlineStr"/>
      <c r="H62" s="3" t="inlineStr">
        <is>
          <t>No proof of $6,500 payment [dated 06/03/2019]</t>
        </is>
      </c>
      <c r="I62" s="3" t="n">
        <v>10</v>
      </c>
      <c r="J62" s="3" t="inlineStr">
        <is>
          <t>UNREVIEWED</t>
        </is>
      </c>
      <c r="K62" s="3" t="inlineStr">
        <is>
          <t>Imported from JSON</t>
        </is>
      </c>
      <c r="L62" s="3" t="inlineStr">
        <is>
          <t>Medium</t>
        </is>
      </c>
      <c r="M62" s="3" t="n"/>
      <c r="N62" s="3" t="inlineStr">
        <is>
          <t>YES</t>
        </is>
      </c>
    </row>
    <row r="63">
      <c r="A63" s="3" t="inlineStr">
        <is>
          <t>E00062</t>
        </is>
      </c>
      <c r="B63" s="3" t="inlineStr">
        <is>
          <t>E-WASH-01</t>
        </is>
      </c>
      <c r="C63" s="3" t="inlineStr">
        <is>
          <t>I-MAINT</t>
        </is>
      </c>
      <c r="D63" s="3" t="inlineStr">
        <is>
          <t>SUPPORTS_ISSUE</t>
        </is>
      </c>
      <c r="E63" s="3" t="inlineStr">
        <is>
          <t>ROA_SPINE</t>
        </is>
      </c>
      <c r="F63" s="3" t="inlineStr"/>
      <c r="G63" s="3" t="inlineStr"/>
      <c r="H63" s="3" t="inlineStr"/>
      <c r="I63" s="3" t="n">
        <v>6</v>
      </c>
      <c r="J63" s="3" t="inlineStr">
        <is>
          <t>UNREVIEWED</t>
        </is>
      </c>
      <c r="K63" s="3" t="inlineStr">
        <is>
          <t>Imported from JSON</t>
        </is>
      </c>
      <c r="L63" s="3" t="inlineStr">
        <is>
          <t>Medium</t>
        </is>
      </c>
      <c r="M63" s="3" t="inlineStr">
        <is>
          <t>Atlas purchased before lease [dated 2017]</t>
        </is>
      </c>
      <c r="N63" s="3" t="inlineStr">
        <is>
          <t>NO</t>
        </is>
      </c>
    </row>
    <row r="64">
      <c r="A64" s="3" t="inlineStr">
        <is>
          <t>E00063</t>
        </is>
      </c>
      <c r="B64" s="3" t="inlineStr">
        <is>
          <t>E-CHW-01</t>
        </is>
      </c>
      <c r="C64" s="3" t="inlineStr">
        <is>
          <t>I-MISREP</t>
        </is>
      </c>
      <c r="D64" s="3" t="inlineStr">
        <is>
          <t>SUPPORTS_ISSUE</t>
        </is>
      </c>
      <c r="E64" s="3" t="inlineStr">
        <is>
          <t>ROA_SPINE</t>
        </is>
      </c>
      <c r="F64" s="3" t="inlineStr"/>
      <c r="G64" s="3" t="inlineStr"/>
      <c r="H64" s="3" t="inlineStr"/>
      <c r="I64" s="3" t="n">
        <v>7</v>
      </c>
      <c r="J64" s="3" t="inlineStr">
        <is>
          <t>UNREVIEWED</t>
        </is>
      </c>
      <c r="K64" s="3" t="inlineStr">
        <is>
          <t>Imported from JSON</t>
        </is>
      </c>
      <c r="L64" s="3" t="inlineStr">
        <is>
          <t>Medium</t>
        </is>
      </c>
      <c r="M64" s="3" t="inlineStr">
        <is>
          <t>Denials for pre-existing conditions [2018-2019]</t>
        </is>
      </c>
      <c r="N64" s="3" t="inlineStr">
        <is>
          <t>NO</t>
        </is>
      </c>
    </row>
    <row r="65">
      <c r="A65" s="3" t="inlineStr">
        <is>
          <t>E00064</t>
        </is>
      </c>
      <c r="B65" s="3" t="inlineStr">
        <is>
          <t>E-LEASE-01</t>
        </is>
      </c>
      <c r="C65" s="3" t="inlineStr">
        <is>
          <t>2020-000746-CA-01</t>
        </is>
      </c>
      <c r="D65" s="3" t="inlineStr">
        <is>
          <t>GOVERNS</t>
        </is>
      </c>
      <c r="E65" s="3" t="inlineStr">
        <is>
          <t>ROA_SPINE</t>
        </is>
      </c>
      <c r="F65" s="3" t="inlineStr"/>
      <c r="G65" s="3" t="inlineStr"/>
      <c r="H65" s="3" t="inlineStr">
        <is>
          <t>§VII duties; §XXIII fees; §83.49 [dated 12/22/2017]</t>
        </is>
      </c>
      <c r="I65" s="3" t="n">
        <v>10</v>
      </c>
      <c r="J65" s="3" t="inlineStr">
        <is>
          <t>UNREVIEWED</t>
        </is>
      </c>
      <c r="K65" s="3" t="inlineStr">
        <is>
          <t>Imported from JSON</t>
        </is>
      </c>
      <c r="L65" s="3" t="inlineStr">
        <is>
          <t>Medium</t>
        </is>
      </c>
      <c r="M65" s="3" t="n"/>
      <c r="N65" s="3" t="inlineStr">
        <is>
          <t>YES</t>
        </is>
      </c>
    </row>
    <row r="66">
      <c r="A66" s="3" t="inlineStr">
        <is>
          <t>E00065</t>
        </is>
      </c>
      <c r="B66" s="3" t="inlineStr">
        <is>
          <t>E-MURANO-01</t>
        </is>
      </c>
      <c r="C66" s="3" t="inlineStr">
        <is>
          <t>I-MAINT</t>
        </is>
      </c>
      <c r="D66" s="3" t="inlineStr">
        <is>
          <t>SUPPORTS_ISSUE</t>
        </is>
      </c>
      <c r="E66" s="3" t="inlineStr">
        <is>
          <t>ROA_SPINE</t>
        </is>
      </c>
      <c r="F66" s="3" t="inlineStr"/>
      <c r="G66" s="3" t="inlineStr"/>
      <c r="H66" s="3" t="inlineStr">
        <is>
          <t>24-hour mold notice; no self-remediation [dated 02/2018]</t>
        </is>
      </c>
      <c r="I66" s="3" t="n">
        <v>10</v>
      </c>
      <c r="J66" s="3" t="inlineStr">
        <is>
          <t>UNREVIEWED</t>
        </is>
      </c>
      <c r="K66" s="3" t="inlineStr">
        <is>
          <t>Imported from JSON</t>
        </is>
      </c>
      <c r="L66" s="3" t="inlineStr">
        <is>
          <t>Medium</t>
        </is>
      </c>
      <c r="M66" s="3" t="n"/>
      <c r="N66" s="3" t="inlineStr">
        <is>
          <t>YES</t>
        </is>
      </c>
    </row>
    <row r="67">
      <c r="A67" s="3" t="inlineStr">
        <is>
          <t>E00066</t>
        </is>
      </c>
      <c r="B67" s="3" t="inlineStr">
        <is>
          <t>Police_Report_2019-00042552</t>
        </is>
      </c>
      <c r="C67" s="3" t="inlineStr">
        <is>
          <t>I-SPOLIATION</t>
        </is>
      </c>
      <c r="D67" s="3" t="inlineStr">
        <is>
          <t>SUPPORTS_ISSUE</t>
        </is>
      </c>
      <c r="E67" s="3" t="inlineStr">
        <is>
          <t>ROA_SPINE</t>
        </is>
      </c>
      <c r="F67" s="3" t="inlineStr"/>
      <c r="G67" s="3" t="inlineStr"/>
      <c r="H67" s="3" t="inlineStr">
        <is>
          <t>Police Report #2019-00042552 documents Plaintiff's unauthorized removal and disposal of Defendant's property</t>
        </is>
      </c>
      <c r="I67" s="3" t="n">
        <v>15</v>
      </c>
      <c r="J67" s="3" t="inlineStr">
        <is>
          <t>UNREVIEWED</t>
        </is>
      </c>
      <c r="K67" s="3" t="inlineStr">
        <is>
          <t>Imported from JSON</t>
        </is>
      </c>
      <c r="L67" s="3" t="inlineStr">
        <is>
          <t>Medium</t>
        </is>
      </c>
      <c r="M67" s="3" t="n"/>
      <c r="N67" s="3" t="inlineStr">
        <is>
          <t>YES</t>
        </is>
      </c>
    </row>
    <row r="68">
      <c r="A68" s="3" t="inlineStr">
        <is>
          <t>E00067</t>
        </is>
      </c>
      <c r="B68" s="3" t="inlineStr">
        <is>
          <t>Hearing_05_23_2024</t>
        </is>
      </c>
      <c r="C68" s="3" t="inlineStr">
        <is>
          <t>DIN-99</t>
        </is>
      </c>
      <c r="D68" s="3" t="inlineStr">
        <is>
          <t>HEARING_ON</t>
        </is>
      </c>
      <c r="E68" s="3" t="inlineStr">
        <is>
          <t>ROA_SPINE</t>
        </is>
      </c>
      <c r="F68" s="3" t="inlineStr"/>
      <c r="G68" s="3" t="inlineStr"/>
      <c r="H68" s="3" t="inlineStr">
        <is>
          <t>Notice of Hrg Special Appt Event 05-23-2024 at 11:00 AM [DIN 102]</t>
        </is>
      </c>
      <c r="I68" s="3" t="n">
        <v>15</v>
      </c>
      <c r="J68" s="3" t="inlineStr">
        <is>
          <t>UNREVIEWED</t>
        </is>
      </c>
      <c r="K68" s="3" t="inlineStr">
        <is>
          <t>Imported from JSON</t>
        </is>
      </c>
      <c r="L68" s="3" t="inlineStr">
        <is>
          <t>Medium</t>
        </is>
      </c>
      <c r="M68" s="3" t="n"/>
      <c r="N68" s="3" t="inlineStr">
        <is>
          <t>YES</t>
        </is>
      </c>
    </row>
    <row r="69">
      <c r="A69" s="3" t="inlineStr">
        <is>
          <t>E00068</t>
        </is>
      </c>
      <c r="B69" s="3" t="inlineStr">
        <is>
          <t>Hearing_03_13_2025</t>
        </is>
      </c>
      <c r="C69" s="3" t="inlineStr">
        <is>
          <t>DIN-151</t>
        </is>
      </c>
      <c r="D69" s="3" t="inlineStr">
        <is>
          <t>HEARING_ON</t>
        </is>
      </c>
      <c r="E69" s="3" t="inlineStr">
        <is>
          <t>ROA_SPINE</t>
        </is>
      </c>
      <c r="F69" s="3" t="inlineStr"/>
      <c r="G69" s="3" t="inlineStr"/>
      <c r="H69" s="3" t="inlineStr">
        <is>
          <t>Motion Calendar Hearing DEFENDANTS' MOTION FOR MANDATORY TRANSFER TO COUNTY COURT [03/13/2025]</t>
        </is>
      </c>
      <c r="I69" s="3" t="n">
        <v>14</v>
      </c>
      <c r="J69" s="3" t="inlineStr">
        <is>
          <t>UNREVIEWED</t>
        </is>
      </c>
      <c r="K69" s="3" t="inlineStr">
        <is>
          <t>Imported from JSON</t>
        </is>
      </c>
      <c r="L69" s="3" t="inlineStr">
        <is>
          <t>Medium</t>
        </is>
      </c>
      <c r="M69" s="3" t="n"/>
      <c r="N69" s="3" t="inlineStr">
        <is>
          <t>YES</t>
        </is>
      </c>
    </row>
    <row r="70">
      <c r="A70" s="3" t="inlineStr">
        <is>
          <t>E00069</t>
        </is>
      </c>
      <c r="B70" s="3" t="inlineStr">
        <is>
          <t>Hearing_07_21_2025</t>
        </is>
      </c>
      <c r="C70" s="3" t="inlineStr">
        <is>
          <t>DIN-164</t>
        </is>
      </c>
      <c r="D70" s="3" t="inlineStr">
        <is>
          <t>HEARING_ON</t>
        </is>
      </c>
      <c r="E70" s="3" t="inlineStr">
        <is>
          <t>ROA_SPINE</t>
        </is>
      </c>
      <c r="F70" s="3" t="inlineStr"/>
      <c r="G70" s="3" t="inlineStr"/>
      <c r="H70" s="3" t="inlineStr">
        <is>
          <t>Special Sets Hearing [07/21/2025 at 09:30 AM]</t>
        </is>
      </c>
      <c r="I70" s="3" t="n">
        <v>10</v>
      </c>
      <c r="J70" s="3" t="inlineStr">
        <is>
          <t>UNREVIEWED</t>
        </is>
      </c>
      <c r="K70" s="3" t="inlineStr">
        <is>
          <t>Imported from JSON</t>
        </is>
      </c>
      <c r="L70" s="3" t="inlineStr">
        <is>
          <t>Medium</t>
        </is>
      </c>
      <c r="M70" s="3" t="n"/>
      <c r="N70" s="3" t="inlineStr">
        <is>
          <t>YES</t>
        </is>
      </c>
    </row>
    <row r="71">
      <c r="A71" s="3" t="inlineStr">
        <is>
          <t>E00070</t>
        </is>
      </c>
      <c r="B71" s="3" t="inlineStr">
        <is>
          <t>Mediation_11_01_2021</t>
        </is>
      </c>
      <c r="C71" s="3" t="inlineStr">
        <is>
          <t>2020-000746-CA-01</t>
        </is>
      </c>
      <c r="D71" s="3" t="inlineStr">
        <is>
          <t>ADR_IN</t>
        </is>
      </c>
      <c r="E71" s="3" t="inlineStr">
        <is>
          <t>ROA_SPINE</t>
        </is>
      </c>
      <c r="F71" s="3" t="inlineStr"/>
      <c r="G71" s="3" t="inlineStr"/>
      <c r="H71" s="3" t="inlineStr">
        <is>
          <t>The parties mediated the issues in dispute on November 1, 2021. Unfortunately, no agreement was reached at mediation.</t>
        </is>
      </c>
      <c r="I71" s="3" t="n">
        <v>18</v>
      </c>
      <c r="J71" s="3" t="inlineStr">
        <is>
          <t>UNREVIEWED</t>
        </is>
      </c>
      <c r="K71" s="3" t="inlineStr">
        <is>
          <t>Imported from JSON</t>
        </is>
      </c>
      <c r="L71" s="3" t="inlineStr">
        <is>
          <t>Medium</t>
        </is>
      </c>
      <c r="M71" s="3" t="n"/>
      <c r="N71" s="3" t="inlineStr">
        <is>
          <t>YES</t>
        </is>
      </c>
    </row>
    <row r="72">
      <c r="A72" s="3" t="inlineStr">
        <is>
          <t>E00071</t>
        </is>
      </c>
      <c r="B72" s="3" t="inlineStr">
        <is>
          <t>05_18_2018</t>
        </is>
      </c>
      <c r="C72" s="3" t="inlineStr">
        <is>
          <t>2018-011311-CC-05</t>
        </is>
      </c>
      <c r="D72" s="3" t="inlineStr">
        <is>
          <t>FILED_ON</t>
        </is>
      </c>
      <c r="E72" s="3" t="inlineStr">
        <is>
          <t>ROA_SPINE</t>
        </is>
      </c>
      <c r="F72" s="3" t="inlineStr"/>
      <c r="G72" s="3" t="inlineStr"/>
      <c r="H72" s="3" t="inlineStr"/>
      <c r="I72" s="3" t="n">
        <v>5</v>
      </c>
      <c r="J72" s="3" t="inlineStr">
        <is>
          <t>UNREVIEWED</t>
        </is>
      </c>
      <c r="K72" s="3" t="inlineStr">
        <is>
          <t>Imported from JSON</t>
        </is>
      </c>
      <c r="L72" s="3" t="inlineStr">
        <is>
          <t>Medium</t>
        </is>
      </c>
      <c r="M72" s="3" t="inlineStr">
        <is>
          <t>Filing Date: 05/18/2018</t>
        </is>
      </c>
      <c r="N72" s="3" t="inlineStr">
        <is>
          <t>NO</t>
        </is>
      </c>
    </row>
    <row r="73">
      <c r="A73" s="3" t="inlineStr">
        <is>
          <t>E00072</t>
        </is>
      </c>
      <c r="B73" s="3" t="inlineStr">
        <is>
          <t>12_22_2017</t>
        </is>
      </c>
      <c r="C73" s="3" t="inlineStr">
        <is>
          <t>E-LEASE-01</t>
        </is>
      </c>
      <c r="D73" s="3" t="inlineStr">
        <is>
          <t>EXECUTED_ON</t>
        </is>
      </c>
      <c r="E73" s="3" t="inlineStr">
        <is>
          <t>ROA_SPINE</t>
        </is>
      </c>
      <c r="F73" s="3" t="inlineStr"/>
      <c r="G73" s="3" t="inlineStr"/>
      <c r="H73" s="3" t="inlineStr">
        <is>
          <t>Lease Agreement TH-A5 [dated 12/22/2017]</t>
        </is>
      </c>
      <c r="I73" s="3" t="n">
        <v>8</v>
      </c>
      <c r="J73" s="3" t="inlineStr">
        <is>
          <t>UNREVIEWED</t>
        </is>
      </c>
      <c r="K73" s="3" t="inlineStr">
        <is>
          <t>Imported from JSON</t>
        </is>
      </c>
      <c r="L73" s="3" t="inlineStr">
        <is>
          <t>Medium</t>
        </is>
      </c>
      <c r="M73" s="3" t="n"/>
      <c r="N73" s="3" t="inlineStr">
        <is>
          <t>YES</t>
        </is>
      </c>
    </row>
    <row r="74">
      <c r="A74" s="3" t="inlineStr">
        <is>
          <t>E00073</t>
        </is>
      </c>
      <c r="B74" s="3" t="inlineStr">
        <is>
          <t>01_06_2018</t>
        </is>
      </c>
      <c r="C74" s="3" t="inlineStr">
        <is>
          <t>E-SEC-01</t>
        </is>
      </c>
      <c r="D74" s="3" t="inlineStr">
        <is>
          <t>DATED</t>
        </is>
      </c>
      <c r="E74" s="3" t="inlineStr">
        <is>
          <t>ROA_SPINE</t>
        </is>
      </c>
      <c r="F74" s="3" t="inlineStr"/>
      <c r="G74" s="3" t="inlineStr"/>
      <c r="H74" s="3" t="inlineStr">
        <is>
          <t>Notice of Intention to Impose Claim on Deposit [01/06/2018]</t>
        </is>
      </c>
      <c r="I74" s="3" t="n">
        <v>11</v>
      </c>
      <c r="J74" s="3" t="inlineStr">
        <is>
          <t>UNREVIEWED</t>
        </is>
      </c>
      <c r="K74" s="3" t="inlineStr">
        <is>
          <t>Imported from JSON</t>
        </is>
      </c>
      <c r="L74" s="3" t="inlineStr">
        <is>
          <t>Medium</t>
        </is>
      </c>
      <c r="M74" s="3" t="n"/>
      <c r="N74" s="3" t="inlineStr">
        <is>
          <t>YES</t>
        </is>
      </c>
    </row>
    <row r="75">
      <c r="A75" s="3" t="inlineStr">
        <is>
          <t>E00074</t>
        </is>
      </c>
      <c r="B75" s="3" t="inlineStr">
        <is>
          <t>01_14_2020</t>
        </is>
      </c>
      <c r="C75" s="3" t="inlineStr">
        <is>
          <t>2020-000746-CA-01</t>
        </is>
      </c>
      <c r="D75" s="3" t="inlineStr">
        <is>
          <t>FILED_ON</t>
        </is>
      </c>
      <c r="E75" s="3" t="inlineStr">
        <is>
          <t>ROA_SPINE</t>
        </is>
      </c>
      <c r="F75" s="3" t="inlineStr"/>
      <c r="G75" s="3" t="inlineStr"/>
      <c r="H75" s="3" t="inlineStr"/>
      <c r="I75" s="3" t="n">
        <v>5</v>
      </c>
      <c r="J75" s="3" t="inlineStr">
        <is>
          <t>UNREVIEWED</t>
        </is>
      </c>
      <c r="K75" s="3" t="inlineStr">
        <is>
          <t>Imported from JSON</t>
        </is>
      </c>
      <c r="L75" s="3" t="inlineStr">
        <is>
          <t>Medium</t>
        </is>
      </c>
      <c r="M75" s="3" t="inlineStr">
        <is>
          <t>Filing Date: 01/14/2020</t>
        </is>
      </c>
      <c r="N75" s="3" t="inlineStr">
        <is>
          <t>NO</t>
        </is>
      </c>
    </row>
    <row r="76">
      <c r="A76" s="3" t="inlineStr">
        <is>
          <t>E00075</t>
        </is>
      </c>
      <c r="B76" s="3" t="inlineStr">
        <is>
          <t>08_02_2025</t>
        </is>
      </c>
      <c r="C76" s="3" t="inlineStr">
        <is>
          <t>DIN-169</t>
        </is>
      </c>
      <c r="D76" s="3" t="inlineStr">
        <is>
          <t>ENTERED_ON</t>
        </is>
      </c>
      <c r="E76" s="3" t="inlineStr">
        <is>
          <t>ROA_SPINE</t>
        </is>
      </c>
      <c r="F76" s="3" t="inlineStr"/>
      <c r="G76" s="3" t="inlineStr"/>
      <c r="H76" s="3" t="inlineStr">
        <is>
          <t>Summary Final Judgment [DIN 169, 08/02/2025]</t>
        </is>
      </c>
      <c r="I76" s="3" t="n">
        <v>8</v>
      </c>
      <c r="J76" s="3" t="inlineStr">
        <is>
          <t>UNREVIEWED</t>
        </is>
      </c>
      <c r="K76" s="3" t="inlineStr">
        <is>
          <t>Imported from JSON</t>
        </is>
      </c>
      <c r="L76" s="3" t="inlineStr">
        <is>
          <t>Medium</t>
        </is>
      </c>
      <c r="M76" s="3" t="n"/>
      <c r="N76" s="3" t="inlineStr">
        <is>
          <t>YES</t>
        </is>
      </c>
    </row>
    <row r="77">
      <c r="A77" s="3" t="inlineStr">
        <is>
          <t>E00076</t>
        </is>
      </c>
      <c r="B77" s="3" t="inlineStr">
        <is>
          <t>09_02_2025</t>
        </is>
      </c>
      <c r="C77" s="3" t="inlineStr">
        <is>
          <t>DIN-170</t>
        </is>
      </c>
      <c r="D77" s="3" t="inlineStr">
        <is>
          <t>FILED_ON</t>
        </is>
      </c>
      <c r="E77" s="3" t="inlineStr">
        <is>
          <t>ROA_SPINE</t>
        </is>
      </c>
      <c r="F77" s="3" t="inlineStr"/>
      <c r="G77" s="3" t="inlineStr"/>
      <c r="H77" s="3" t="inlineStr">
        <is>
          <t>Notice of Appeal [DIN 170, 09/02/2025]</t>
        </is>
      </c>
      <c r="I77" s="3" t="n">
        <v>8</v>
      </c>
      <c r="J77" s="3" t="inlineStr">
        <is>
          <t>UNREVIEWED</t>
        </is>
      </c>
      <c r="K77" s="3" t="inlineStr">
        <is>
          <t>Imported from JSON</t>
        </is>
      </c>
      <c r="L77" s="3" t="inlineStr">
        <is>
          <t>Medium</t>
        </is>
      </c>
      <c r="M77" s="3" t="n"/>
      <c r="N77" s="3" t="inlineStr">
        <is>
          <t>YES</t>
        </is>
      </c>
    </row>
    <row r="78">
      <c r="A78" s="3" t="inlineStr">
        <is>
          <t>E00077</t>
        </is>
      </c>
      <c r="B78" s="3" t="inlineStr">
        <is>
          <t>1272649</t>
        </is>
      </c>
      <c r="C78" s="3" t="inlineStr">
        <is>
          <t>I-JURIS</t>
        </is>
      </c>
      <c r="D78" s="3" t="inlineStr">
        <is>
          <t>AMOUNT_IN_CONTROVERSY</t>
        </is>
      </c>
      <c r="E78" s="3" t="inlineStr">
        <is>
          <t>ROA_SPINE</t>
        </is>
      </c>
      <c r="F78" s="3" t="inlineStr"/>
      <c r="G78" s="3" t="inlineStr"/>
      <c r="H78" s="3" t="inlineStr">
        <is>
          <t>Motion for Mandatory Transfer to County [DIN 151] - $12,726.49 judicial admission</t>
        </is>
      </c>
      <c r="I78" s="3" t="n">
        <v>13</v>
      </c>
      <c r="J78" s="3" t="inlineStr">
        <is>
          <t>UNREVIEWED</t>
        </is>
      </c>
      <c r="K78" s="3" t="inlineStr">
        <is>
          <t>Imported from JSON</t>
        </is>
      </c>
      <c r="L78" s="3" t="inlineStr">
        <is>
          <t>Medium</t>
        </is>
      </c>
      <c r="M78" s="3" t="n"/>
      <c r="N78" s="3" t="inlineStr">
        <is>
          <t>YES</t>
        </is>
      </c>
    </row>
    <row r="79">
      <c r="A79" s="3" t="inlineStr">
        <is>
          <t>E00078</t>
        </is>
      </c>
      <c r="B79" s="3" t="inlineStr">
        <is>
          <t>15000</t>
        </is>
      </c>
      <c r="C79" s="3" t="inlineStr">
        <is>
          <t>I-JURIS</t>
        </is>
      </c>
      <c r="D79" s="3" t="inlineStr">
        <is>
          <t>JURISDICTIONAL_LIMIT</t>
        </is>
      </c>
      <c r="E79" s="3" t="inlineStr">
        <is>
          <t>ROA_SPINE</t>
        </is>
      </c>
      <c r="F79" s="3" t="inlineStr"/>
      <c r="G79" s="3" t="inlineStr"/>
      <c r="H79" s="3" t="inlineStr">
        <is>
          <t>Case Type: Contract and Indebtedness ($8,001- $15,000)</t>
        </is>
      </c>
      <c r="I79" s="3" t="n">
        <v>9</v>
      </c>
      <c r="J79" s="3" t="inlineStr">
        <is>
          <t>UNREVIEWED</t>
        </is>
      </c>
      <c r="K79" s="3" t="inlineStr">
        <is>
          <t>Imported from JSON</t>
        </is>
      </c>
      <c r="L79" s="3" t="inlineStr">
        <is>
          <t>Medium</t>
        </is>
      </c>
      <c r="M79" s="3" t="n"/>
      <c r="N79" s="3" t="inlineStr">
        <is>
          <t>YES</t>
        </is>
      </c>
    </row>
    <row r="80">
      <c r="A80" s="3" t="inlineStr">
        <is>
          <t>E00079</t>
        </is>
      </c>
      <c r="B80" s="3" t="inlineStr">
        <is>
          <t>12562763</t>
        </is>
      </c>
      <c r="C80" s="3" t="inlineStr">
        <is>
          <t>DIN-173</t>
        </is>
      </c>
      <c r="D80" s="3" t="inlineStr">
        <is>
          <t>FEE_AMOUNT</t>
        </is>
      </c>
      <c r="E80" s="3" t="inlineStr">
        <is>
          <t>ROA_SPINE</t>
        </is>
      </c>
      <c r="F80" s="3" t="inlineStr"/>
      <c r="G80" s="3" t="inlineStr"/>
      <c r="H80" s="3" t="inlineStr">
        <is>
          <t>Motion for Attorney Fees [DIN 173] - $125,627.63 fee request; 9.87:1 ratio</t>
        </is>
      </c>
      <c r="I80" s="3" t="n">
        <v>15</v>
      </c>
      <c r="J80" s="3" t="inlineStr">
        <is>
          <t>UNREVIEWED</t>
        </is>
      </c>
      <c r="K80" s="3" t="inlineStr">
        <is>
          <t>Imported from JSON</t>
        </is>
      </c>
      <c r="L80" s="3" t="inlineStr">
        <is>
          <t>Medium</t>
        </is>
      </c>
      <c r="M80" s="3" t="n"/>
      <c r="N80" s="3" t="inlineStr">
        <is>
          <t>YES</t>
        </is>
      </c>
    </row>
    <row r="81">
      <c r="A81" s="3" t="inlineStr">
        <is>
          <t>E00080</t>
        </is>
      </c>
      <c r="B81" s="3" t="inlineStr">
        <is>
          <t>REPLY-A1</t>
        </is>
      </c>
      <c r="C81" s="3" t="inlineStr">
        <is>
          <t>Fla_R_Civ_P_1510</t>
        </is>
      </c>
      <c r="D81" s="3" t="inlineStr">
        <is>
          <t>CITES_RULE</t>
        </is>
      </c>
      <c r="E81" s="3" t="inlineStr">
        <is>
          <t>MOTION_ASSERTION</t>
        </is>
      </c>
      <c r="F81" s="3" t="inlineStr"/>
      <c r="G81" s="3" t="inlineStr"/>
      <c r="H81" s="3" t="inlineStr"/>
      <c r="I81" s="3" t="n">
        <v>29</v>
      </c>
      <c r="J81" s="3" t="inlineStr">
        <is>
          <t>UNREVIEWED</t>
        </is>
      </c>
      <c r="K81" s="3" t="inlineStr">
        <is>
          <t>Imported from JSON</t>
        </is>
      </c>
      <c r="L81" s="3" t="inlineStr">
        <is>
          <t>Medium</t>
        </is>
      </c>
      <c r="M81" s="3" t="inlineStr">
        <is>
          <t>Plaintiff fails to meet their burden under Fla. R. Civ. P. 1.510. The revised federal-aligned standard requires specific, admissible evidence demonstrating a genuine dispute of material fact.</t>
        </is>
      </c>
      <c r="N81" s="3" t="inlineStr">
        <is>
          <t>NO</t>
        </is>
      </c>
    </row>
    <row r="82">
      <c r="A82" s="3" t="inlineStr">
        <is>
          <t>E00081</t>
        </is>
      </c>
      <c r="B82" s="3" t="inlineStr">
        <is>
          <t>REPLY-A2</t>
        </is>
      </c>
      <c r="C82" s="3" t="inlineStr">
        <is>
          <t>ELI_COHEN</t>
        </is>
      </c>
      <c r="D82" s="3" t="inlineStr">
        <is>
          <t>ACCUSES</t>
        </is>
      </c>
      <c r="E82" s="3" t="inlineStr">
        <is>
          <t>MOTION_ASSERTION</t>
        </is>
      </c>
      <c r="F82" s="3" t="inlineStr"/>
      <c r="G82" s="3" t="inlineStr"/>
      <c r="H82" s="3" t="inlineStr">
        <is>
          <t>Misrepresentations of the law and baseless, conclusory statements without any cited support.</t>
        </is>
      </c>
      <c r="I82" s="3" t="n">
        <v>12</v>
      </c>
      <c r="J82" s="3" t="inlineStr">
        <is>
          <t>UNREVIEWED</t>
        </is>
      </c>
      <c r="K82" s="3" t="inlineStr">
        <is>
          <t>Imported from JSON</t>
        </is>
      </c>
      <c r="L82" s="3" t="inlineStr">
        <is>
          <t>Medium</t>
        </is>
      </c>
      <c r="M82" s="3" t="n"/>
      <c r="N82" s="3" t="inlineStr">
        <is>
          <t>YES</t>
        </is>
      </c>
    </row>
    <row r="83">
      <c r="A83" s="3" t="inlineStr">
        <is>
          <t>E00082</t>
        </is>
      </c>
      <c r="B83" s="3" t="inlineStr">
        <is>
          <t>REPLY-A3</t>
        </is>
      </c>
      <c r="C83" s="3" t="inlineStr">
        <is>
          <t>DIN-135</t>
        </is>
      </c>
      <c r="D83" s="3" t="inlineStr">
        <is>
          <t>JUSTIFIES</t>
        </is>
      </c>
      <c r="E83" s="3" t="inlineStr">
        <is>
          <t>MOTION_ASSERTION</t>
        </is>
      </c>
      <c r="F83" s="3" t="inlineStr"/>
      <c r="G83" s="3" t="inlineStr"/>
      <c r="H83" s="3" t="inlineStr">
        <is>
          <t>Florida law permits renewed summary judgment motions when new legal arguments or evidence are raised.</t>
        </is>
      </c>
      <c r="I83" s="3" t="n">
        <v>15</v>
      </c>
      <c r="J83" s="3" t="inlineStr">
        <is>
          <t>UNREVIEWED</t>
        </is>
      </c>
      <c r="K83" s="3" t="inlineStr">
        <is>
          <t>Imported from JSON</t>
        </is>
      </c>
      <c r="L83" s="3" t="inlineStr">
        <is>
          <t>Medium</t>
        </is>
      </c>
      <c r="M83" s="3" t="n"/>
      <c r="N83" s="3" t="inlineStr">
        <is>
          <t>YES</t>
        </is>
      </c>
    </row>
    <row r="84">
      <c r="A84" s="3" t="inlineStr">
        <is>
          <t>E00083</t>
        </is>
      </c>
      <c r="B84" s="3" t="inlineStr">
        <is>
          <t>REPLY-A4</t>
        </is>
      </c>
      <c r="C84" s="3" t="inlineStr">
        <is>
          <t>Fla_R_Jud_Admin_2330h</t>
        </is>
      </c>
      <c r="D84" s="3" t="inlineStr">
        <is>
          <t>CITES_RULE</t>
        </is>
      </c>
      <c r="E84" s="3" t="inlineStr">
        <is>
          <t>MOTION_ASSERTION</t>
        </is>
      </c>
      <c r="F84" s="3" t="inlineStr"/>
      <c r="G84" s="3" t="inlineStr"/>
      <c r="H84" s="3" t="inlineStr">
        <is>
          <t>Fla. R. Jud. Admin. 2.330(h) requires reconsideration of all rulings by a recused judge.</t>
        </is>
      </c>
      <c r="I84" s="3" t="n">
        <v>16</v>
      </c>
      <c r="J84" s="3" t="inlineStr">
        <is>
          <t>UNREVIEWED</t>
        </is>
      </c>
      <c r="K84" s="3" t="inlineStr">
        <is>
          <t>Imported from JSON</t>
        </is>
      </c>
      <c r="L84" s="3" t="inlineStr">
        <is>
          <t>Medium</t>
        </is>
      </c>
      <c r="M84" s="3" t="n"/>
      <c r="N84" s="3" t="inlineStr">
        <is>
          <t>YES</t>
        </is>
      </c>
    </row>
    <row r="85">
      <c r="A85" s="3" t="inlineStr">
        <is>
          <t>E00084</t>
        </is>
      </c>
      <c r="B85" s="3" t="inlineStr">
        <is>
          <t>REPLY-A5</t>
        </is>
      </c>
      <c r="C85" s="3" t="inlineStr">
        <is>
          <t>Police_Report_2019-00042552</t>
        </is>
      </c>
      <c r="D85" s="3" t="inlineStr">
        <is>
          <t>EVIDENCED_BY</t>
        </is>
      </c>
      <c r="E85" s="3" t="inlineStr">
        <is>
          <t>MOTION_ASSERTION</t>
        </is>
      </c>
      <c r="F85" s="3" t="inlineStr"/>
      <c r="G85" s="3" t="inlineStr"/>
      <c r="H85" s="3" t="inlineStr">
        <is>
          <t>Police Report #2019-00042552 documents Plaintiff's unauthorized removal and disposal of Defendant's property.</t>
        </is>
      </c>
      <c r="I85" s="3" t="n">
        <v>15</v>
      </c>
      <c r="J85" s="3" t="inlineStr">
        <is>
          <t>UNREVIEWED</t>
        </is>
      </c>
      <c r="K85" s="3" t="inlineStr">
        <is>
          <t>Imported from JSON</t>
        </is>
      </c>
      <c r="L85" s="3" t="inlineStr">
        <is>
          <t>Medium</t>
        </is>
      </c>
      <c r="M85" s="3" t="n"/>
      <c r="N85" s="3" t="inlineStr">
        <is>
          <t>YES</t>
        </is>
      </c>
    </row>
    <row r="86">
      <c r="A86" s="3" t="inlineStr">
        <is>
          <t>E00085</t>
        </is>
      </c>
      <c r="B86" s="3" t="inlineStr">
        <is>
          <t>REPLY-A6</t>
        </is>
      </c>
      <c r="C86" s="3" t="inlineStr">
        <is>
          <t>E-WASH-01</t>
        </is>
      </c>
      <c r="D86" s="3" t="inlineStr">
        <is>
          <t>RELATES_TO</t>
        </is>
      </c>
      <c r="E86" s="3" t="inlineStr">
        <is>
          <t>MOTION_ASSERTION</t>
        </is>
      </c>
      <c r="F86" s="3" t="inlineStr"/>
      <c r="G86" s="3" t="inlineStr"/>
      <c r="H86" s="3" t="inlineStr">
        <is>
          <t>The washer/dryer was under manufacturer warranty—it could have been repaired rather than destroyed.</t>
        </is>
      </c>
      <c r="I86" s="3" t="n">
        <v>15</v>
      </c>
      <c r="J86" s="3" t="inlineStr">
        <is>
          <t>UNREVIEWED</t>
        </is>
      </c>
      <c r="K86" s="3" t="inlineStr">
        <is>
          <t>Imported from JSON</t>
        </is>
      </c>
      <c r="L86" s="3" t="inlineStr">
        <is>
          <t>Medium</t>
        </is>
      </c>
      <c r="M86" s="3" t="n"/>
      <c r="N86" s="3" t="inlineStr">
        <is>
          <t>YES</t>
        </is>
      </c>
    </row>
    <row r="87">
      <c r="A87" s="3" t="inlineStr">
        <is>
          <t>E00086</t>
        </is>
      </c>
      <c r="B87" s="3" t="inlineStr">
        <is>
          <t>REPLY-A7</t>
        </is>
      </c>
      <c r="C87" s="3" t="inlineStr">
        <is>
          <t>Public_Health_Trust_v_Valcin</t>
        </is>
      </c>
      <c r="D87" s="3" t="inlineStr">
        <is>
          <t>CITES_AUTHORITY</t>
        </is>
      </c>
      <c r="E87" s="3" t="inlineStr">
        <is>
          <t>MOTION_ASSERTION</t>
        </is>
      </c>
      <c r="F87" s="3" t="inlineStr"/>
      <c r="G87" s="3" t="inlineStr"/>
      <c r="H87" s="3" t="inlineStr">
        <is>
          <t>Under Public Health Trust v. Valcin, 507 So. 2d 596 (Fla. 1987), this mandates an adverse inference.</t>
        </is>
      </c>
      <c r="I87" s="3" t="n">
        <v>17</v>
      </c>
      <c r="J87" s="3" t="inlineStr">
        <is>
          <t>UNREVIEWED</t>
        </is>
      </c>
      <c r="K87" s="3" t="inlineStr">
        <is>
          <t>Imported from JSON</t>
        </is>
      </c>
      <c r="L87" s="3" t="inlineStr">
        <is>
          <t>Medium</t>
        </is>
      </c>
      <c r="M87" s="3" t="n"/>
      <c r="N87" s="3" t="inlineStr">
        <is>
          <t>YES</t>
        </is>
      </c>
    </row>
    <row r="88">
      <c r="A88" s="3" t="inlineStr">
        <is>
          <t>E00087</t>
        </is>
      </c>
      <c r="B88" s="3" t="inlineStr">
        <is>
          <t>REPLY-A8</t>
        </is>
      </c>
      <c r="C88" s="3" t="inlineStr">
        <is>
          <t>I-DAMAGES</t>
        </is>
      </c>
      <c r="D88" s="3" t="inlineStr">
        <is>
          <t>ATTACKS</t>
        </is>
      </c>
      <c r="E88" s="3" t="inlineStr">
        <is>
          <t>MOTION_ASSERTION</t>
        </is>
      </c>
      <c r="F88" s="3" t="inlineStr"/>
      <c r="G88" s="3" t="inlineStr"/>
      <c r="H88" s="3" t="inlineStr"/>
      <c r="I88" s="3" t="n">
        <v>27</v>
      </c>
      <c r="J88" s="3" t="inlineStr">
        <is>
          <t>UNREVIEWED</t>
        </is>
      </c>
      <c r="K88" s="3" t="inlineStr">
        <is>
          <t>Imported from JSON</t>
        </is>
      </c>
      <c r="L88" s="3" t="inlineStr">
        <is>
          <t>Medium</t>
        </is>
      </c>
      <c r="M88" s="3" t="inlineStr">
        <is>
          <t>Plaintiff's allegations rely on nothing more than unpaid estimates for a washer dryer and unsupported invoices for the alleged remediation, offering no proof of actual payment.</t>
        </is>
      </c>
      <c r="N88" s="3" t="inlineStr">
        <is>
          <t>NO</t>
        </is>
      </c>
    </row>
    <row r="89">
      <c r="A89" s="3" t="inlineStr">
        <is>
          <t>E00088</t>
        </is>
      </c>
      <c r="B89" s="3" t="inlineStr">
        <is>
          <t>REPLY-A9</t>
        </is>
      </c>
      <c r="C89" s="3" t="inlineStr">
        <is>
          <t>E-MOLD-01</t>
        </is>
      </c>
      <c r="D89" s="3" t="inlineStr">
        <is>
          <t>EVIDENCED_BY</t>
        </is>
      </c>
      <c r="E89" s="3" t="inlineStr">
        <is>
          <t>MOTION_ASSERTION</t>
        </is>
      </c>
      <c r="F89" s="3" t="inlineStr"/>
      <c r="G89" s="3" t="inlineStr"/>
      <c r="H89" s="3" t="inlineStr">
        <is>
          <t>Miami Mold's subpoenaed contemporaneous records (Def. Motion Ex. 11), which confirms 'no proof of payment exists.'</t>
        </is>
      </c>
      <c r="I89" s="3" t="n">
        <v>17</v>
      </c>
      <c r="J89" s="3" t="inlineStr">
        <is>
          <t>UNREVIEWED</t>
        </is>
      </c>
      <c r="K89" s="3" t="inlineStr">
        <is>
          <t>Imported from JSON</t>
        </is>
      </c>
      <c r="L89" s="3" t="inlineStr">
        <is>
          <t>Medium</t>
        </is>
      </c>
      <c r="M89" s="3" t="n"/>
      <c r="N89" s="3" t="inlineStr">
        <is>
          <t>YES</t>
        </is>
      </c>
    </row>
    <row r="90">
      <c r="A90" s="3" t="inlineStr">
        <is>
          <t>E00089</t>
        </is>
      </c>
      <c r="B90" s="3" t="inlineStr">
        <is>
          <t>REPLY-A10</t>
        </is>
      </c>
      <c r="C90" s="3" t="inlineStr">
        <is>
          <t>I-DAMAGES</t>
        </is>
      </c>
      <c r="D90" s="3" t="inlineStr">
        <is>
          <t>ATTACKS</t>
        </is>
      </c>
      <c r="E90" s="3" t="inlineStr">
        <is>
          <t>MOTION_ASSERTION</t>
        </is>
      </c>
      <c r="F90" s="3" t="inlineStr"/>
      <c r="G90" s="3" t="inlineStr"/>
      <c r="H90" s="3" t="inlineStr">
        <is>
          <t>Plaintiff fails to establish causation, offering no admissible evidence linking the alleged damages to any act or omission by Defendants.</t>
        </is>
      </c>
      <c r="I90" s="3" t="n">
        <v>20</v>
      </c>
      <c r="J90" s="3" t="inlineStr">
        <is>
          <t>UNREVIEWED</t>
        </is>
      </c>
      <c r="K90" s="3" t="inlineStr">
        <is>
          <t>Imported from JSON</t>
        </is>
      </c>
      <c r="L90" s="3" t="inlineStr">
        <is>
          <t>Medium</t>
        </is>
      </c>
      <c r="M90" s="3" t="n"/>
      <c r="N90" s="3" t="inlineStr">
        <is>
          <t>YES</t>
        </is>
      </c>
    </row>
    <row r="91">
      <c r="A91" s="3" t="inlineStr">
        <is>
          <t>E00090</t>
        </is>
      </c>
      <c r="B91" s="3" t="inlineStr">
        <is>
          <t>REPLY-A11</t>
        </is>
      </c>
      <c r="C91" s="3" t="inlineStr">
        <is>
          <t>I-SECDEP</t>
        </is>
      </c>
      <c r="D91" s="3" t="inlineStr">
        <is>
          <t>RELATES_TO</t>
        </is>
      </c>
      <c r="E91" s="3" t="inlineStr">
        <is>
          <t>MOTION_ASSERTION</t>
        </is>
      </c>
      <c r="F91" s="3" t="inlineStr"/>
      <c r="G91" s="3" t="inlineStr"/>
      <c r="H91" s="3" t="inlineStr">
        <is>
          <t>This failure is compounded by Plaintiff's lack of required notice, which independently bars recovery under Florida law.</t>
        </is>
      </c>
      <c r="I91" s="3" t="n">
        <v>18</v>
      </c>
      <c r="J91" s="3" t="inlineStr">
        <is>
          <t>UNREVIEWED</t>
        </is>
      </c>
      <c r="K91" s="3" t="inlineStr">
        <is>
          <t>Imported from JSON</t>
        </is>
      </c>
      <c r="L91" s="3" t="inlineStr">
        <is>
          <t>Medium</t>
        </is>
      </c>
      <c r="M91" s="3" t="n"/>
      <c r="N91" s="3" t="inlineStr">
        <is>
          <t>YES</t>
        </is>
      </c>
    </row>
    <row r="92">
      <c r="A92" s="3" t="inlineStr">
        <is>
          <t>E00091</t>
        </is>
      </c>
      <c r="B92" s="3" t="inlineStr">
        <is>
          <t>REPLY-A12</t>
        </is>
      </c>
      <c r="C92" s="3" t="inlineStr">
        <is>
          <t>DIN-169</t>
        </is>
      </c>
      <c r="D92" s="3" t="inlineStr">
        <is>
          <t>PRECEDES</t>
        </is>
      </c>
      <c r="E92" s="3" t="inlineStr">
        <is>
          <t>MOTION_ASSERTION</t>
        </is>
      </c>
      <c r="F92" s="3" t="inlineStr"/>
      <c r="G92" s="3" t="inlineStr"/>
      <c r="H92" s="3" t="inlineStr"/>
      <c r="I92" s="3" t="n">
        <v>25</v>
      </c>
      <c r="J92" s="3" t="inlineStr">
        <is>
          <t>UNREVIEWED</t>
        </is>
      </c>
      <c r="K92" s="3" t="inlineStr">
        <is>
          <t>Imported from JSON</t>
        </is>
      </c>
      <c r="L92" s="3" t="inlineStr">
        <is>
          <t>Medium</t>
        </is>
      </c>
      <c r="M92" s="3" t="inlineStr">
        <is>
          <t>Having failed to provide competent evidence and having destroyed key evidence, Plaintiff cannot avoid summary judgment. As a matter of law, it must be granted.</t>
        </is>
      </c>
      <c r="N92" s="3" t="inlineStr">
        <is>
          <t>NO</t>
        </is>
      </c>
    </row>
    <row r="93">
      <c r="A93" s="3" t="inlineStr">
        <is>
          <t>E00092</t>
        </is>
      </c>
      <c r="B93" s="3" t="inlineStr">
        <is>
          <t>Police_Report_2019-00042552</t>
        </is>
      </c>
      <c r="C93" s="3" t="inlineStr">
        <is>
          <t>I-SPOLIATION</t>
        </is>
      </c>
      <c r="D93" s="3" t="inlineStr">
        <is>
          <t>SUPPORTS</t>
        </is>
      </c>
      <c r="E93" s="3" t="inlineStr">
        <is>
          <t>MOTION_ASSERTION</t>
        </is>
      </c>
      <c r="F93" s="3" t="inlineStr"/>
      <c r="G93" s="3" t="inlineStr"/>
      <c r="H93" s="3" t="inlineStr">
        <is>
          <t>Police Report #2019-00042552 documents Plaintiff's unauthorized removal and disposal of Defendant's property.</t>
        </is>
      </c>
      <c r="I93" s="3" t="n">
        <v>15</v>
      </c>
      <c r="J93" s="3" t="inlineStr">
        <is>
          <t>UNREVIEWED</t>
        </is>
      </c>
      <c r="K93" s="3" t="inlineStr">
        <is>
          <t>Imported from JSON</t>
        </is>
      </c>
      <c r="L93" s="3" t="inlineStr">
        <is>
          <t>Medium</t>
        </is>
      </c>
      <c r="M93" s="3" t="n"/>
      <c r="N93" s="3" t="inlineStr">
        <is>
          <t>YES</t>
        </is>
      </c>
    </row>
    <row r="94">
      <c r="A94" s="3" t="inlineStr">
        <is>
          <t>E00093</t>
        </is>
      </c>
      <c r="B94" s="3" t="inlineStr">
        <is>
          <t>Def_Motion_Ex_11_Miami_Mold</t>
        </is>
      </c>
      <c r="C94" s="3" t="inlineStr">
        <is>
          <t>I-DAMAGES</t>
        </is>
      </c>
      <c r="D94" s="3" t="inlineStr">
        <is>
          <t>UNDERMINES_OPPOSING</t>
        </is>
      </c>
      <c r="E94" s="3" t="inlineStr">
        <is>
          <t>MOTION_ASSERTION</t>
        </is>
      </c>
      <c r="F94" s="3" t="inlineStr"/>
      <c r="G94" s="3" t="inlineStr"/>
      <c r="H94" s="3" t="inlineStr">
        <is>
          <t>Miami Mold's subpoenaed contemporaneous records (Def. Motion Ex. 11), which confirms 'no proof of payment exists.'</t>
        </is>
      </c>
      <c r="I94" s="3" t="n">
        <v>17</v>
      </c>
      <c r="J94" s="3" t="inlineStr">
        <is>
          <t>UNREVIEWED</t>
        </is>
      </c>
      <c r="K94" s="3" t="inlineStr">
        <is>
          <t>Imported from JSON</t>
        </is>
      </c>
      <c r="L94" s="3" t="inlineStr">
        <is>
          <t>Medium</t>
        </is>
      </c>
      <c r="M94" s="3" t="n"/>
      <c r="N94" s="3" t="inlineStr">
        <is>
          <t>YES</t>
        </is>
      </c>
    </row>
    <row r="95">
      <c r="A95" s="3" t="inlineStr">
        <is>
          <t>E00094</t>
        </is>
      </c>
      <c r="B95" s="3" t="inlineStr">
        <is>
          <t>Manufacturer_Warranty</t>
        </is>
      </c>
      <c r="C95" s="3" t="inlineStr">
        <is>
          <t>E-WASH-01</t>
        </is>
      </c>
      <c r="D95" s="3" t="inlineStr">
        <is>
          <t>RELATES_TO</t>
        </is>
      </c>
      <c r="E95" s="3" t="inlineStr">
        <is>
          <t>MOTION_ASSERTION</t>
        </is>
      </c>
      <c r="F95" s="3" t="inlineStr"/>
      <c r="G95" s="3" t="inlineStr"/>
      <c r="H95" s="3" t="inlineStr">
        <is>
          <t>The washer/dryer was under manufacturer warranty—it could have been repaired rather than destroyed.</t>
        </is>
      </c>
      <c r="I95" s="3" t="n">
        <v>15</v>
      </c>
      <c r="J95" s="3" t="inlineStr">
        <is>
          <t>UNREVIEWED</t>
        </is>
      </c>
      <c r="K95" s="3" t="inlineStr">
        <is>
          <t>Imported from JSON</t>
        </is>
      </c>
      <c r="L95" s="3" t="inlineStr">
        <is>
          <t>Medium</t>
        </is>
      </c>
      <c r="M95" s="3" t="n"/>
      <c r="N95" s="3" t="inlineStr">
        <is>
          <t>YES</t>
        </is>
      </c>
    </row>
    <row r="96">
      <c r="A96" s="3" t="inlineStr">
        <is>
          <t>E00095</t>
        </is>
      </c>
      <c r="B96" s="3" t="inlineStr">
        <is>
          <t>Fla_R_Civ_P_1510</t>
        </is>
      </c>
      <c r="C96" s="3" t="inlineStr">
        <is>
          <t>REPLY-A1</t>
        </is>
      </c>
      <c r="D96" s="3" t="inlineStr">
        <is>
          <t>CITED_IN</t>
        </is>
      </c>
      <c r="E96" s="3" t="inlineStr">
        <is>
          <t>MOTION_ASSERTION</t>
        </is>
      </c>
      <c r="F96" s="3" t="inlineStr"/>
      <c r="G96" s="3" t="inlineStr"/>
      <c r="H96" s="3" t="inlineStr">
        <is>
          <t>The revised federal-aligned standard requires specific, admissible evidence demonstrating a genuine dispute of material fact.</t>
        </is>
      </c>
      <c r="I96" s="3" t="n">
        <v>16</v>
      </c>
      <c r="J96" s="3" t="inlineStr">
        <is>
          <t>UNREVIEWED</t>
        </is>
      </c>
      <c r="K96" s="3" t="inlineStr">
        <is>
          <t>Imported from JSON</t>
        </is>
      </c>
      <c r="L96" s="3" t="inlineStr">
        <is>
          <t>Medium</t>
        </is>
      </c>
      <c r="M96" s="3" t="n"/>
      <c r="N96" s="3" t="inlineStr">
        <is>
          <t>YES</t>
        </is>
      </c>
    </row>
    <row r="97">
      <c r="A97" s="3" t="inlineStr">
        <is>
          <t>E00096</t>
        </is>
      </c>
      <c r="B97" s="3" t="inlineStr">
        <is>
          <t>Fla_R_Jud_Admin_2330h</t>
        </is>
      </c>
      <c r="C97" s="3" t="inlineStr">
        <is>
          <t>REPLY-A4</t>
        </is>
      </c>
      <c r="D97" s="3" t="inlineStr">
        <is>
          <t>CITED_IN</t>
        </is>
      </c>
      <c r="E97" s="3" t="inlineStr">
        <is>
          <t>MOTION_ASSERTION</t>
        </is>
      </c>
      <c r="F97" s="3" t="inlineStr"/>
      <c r="G97" s="3" t="inlineStr"/>
      <c r="H97" s="3" t="inlineStr">
        <is>
          <t>Fla. R. Jud. Admin. 2.330(h) requires reconsideration of all rulings by a recused judge.</t>
        </is>
      </c>
      <c r="I97" s="3" t="n">
        <v>16</v>
      </c>
      <c r="J97" s="3" t="inlineStr">
        <is>
          <t>UNREVIEWED</t>
        </is>
      </c>
      <c r="K97" s="3" t="inlineStr">
        <is>
          <t>Imported from JSON</t>
        </is>
      </c>
      <c r="L97" s="3" t="inlineStr">
        <is>
          <t>Medium</t>
        </is>
      </c>
      <c r="M97" s="3" t="n"/>
      <c r="N97" s="3" t="inlineStr">
        <is>
          <t>YES</t>
        </is>
      </c>
    </row>
    <row r="98">
      <c r="A98" s="3" t="inlineStr">
        <is>
          <t>E00097</t>
        </is>
      </c>
      <c r="B98" s="3" t="inlineStr">
        <is>
          <t>Public_Health_Trust_v_Valcin_507_So_2d_596_Fla_1987</t>
        </is>
      </c>
      <c r="C98" s="3" t="inlineStr">
        <is>
          <t>REPLY-A7</t>
        </is>
      </c>
      <c r="D98" s="3" t="inlineStr">
        <is>
          <t>CITED_IN</t>
        </is>
      </c>
      <c r="E98" s="3" t="inlineStr">
        <is>
          <t>MOTION_ASSERTION</t>
        </is>
      </c>
      <c r="F98" s="3" t="inlineStr"/>
      <c r="G98" s="3" t="inlineStr"/>
      <c r="H98" s="3" t="inlineStr">
        <is>
          <t>Under Public Health Trust v. Valcin, 507 So. 2d 596 (Fla. 1987), this mandates an adverse inference.</t>
        </is>
      </c>
      <c r="I98" s="3" t="n">
        <v>17</v>
      </c>
      <c r="J98" s="3" t="inlineStr">
        <is>
          <t>UNREVIEWED</t>
        </is>
      </c>
      <c r="K98" s="3" t="inlineStr">
        <is>
          <t>Imported from JSON</t>
        </is>
      </c>
      <c r="L98" s="3" t="inlineStr">
        <is>
          <t>Medium</t>
        </is>
      </c>
      <c r="M98" s="3" t="n"/>
      <c r="N98" s="3" t="inlineStr">
        <is>
          <t>YES</t>
        </is>
      </c>
    </row>
    <row r="99">
      <c r="A99" s="3" t="inlineStr">
        <is>
          <t>E00098</t>
        </is>
      </c>
      <c r="B99" s="3" t="inlineStr">
        <is>
          <t>REPLY-A5</t>
        </is>
      </c>
      <c r="C99" s="3" t="inlineStr">
        <is>
          <t>I-SPOLIATION</t>
        </is>
      </c>
      <c r="D99" s="3" t="inlineStr">
        <is>
          <t>SUPPORTS_ISSUE</t>
        </is>
      </c>
      <c r="E99" s="3" t="inlineStr">
        <is>
          <t>MOTION_ASSERTION</t>
        </is>
      </c>
      <c r="F99" s="3" t="inlineStr"/>
      <c r="G99" s="3" t="inlineStr"/>
      <c r="H99" s="3" t="inlineStr"/>
      <c r="I99" s="3" t="n">
        <v>7</v>
      </c>
      <c r="J99" s="3" t="inlineStr">
        <is>
          <t>UNREVIEWED</t>
        </is>
      </c>
      <c r="K99" s="3" t="inlineStr">
        <is>
          <t>Imported from JSON</t>
        </is>
      </c>
      <c r="L99" s="3" t="inlineStr">
        <is>
          <t>Medium</t>
        </is>
      </c>
      <c r="M99" s="3" t="inlineStr">
        <is>
          <t>Assertion anchored to Police Report #2019-00042552</t>
        </is>
      </c>
      <c r="N99" s="3" t="inlineStr">
        <is>
          <t>NO</t>
        </is>
      </c>
    </row>
    <row r="100">
      <c r="A100" s="3" t="inlineStr">
        <is>
          <t>E00099</t>
        </is>
      </c>
      <c r="B100" s="3" t="inlineStr">
        <is>
          <t>REPLY-A8</t>
        </is>
      </c>
      <c r="C100" s="3" t="inlineStr">
        <is>
          <t>I-DAMAGES</t>
        </is>
      </c>
      <c r="D100" s="3" t="inlineStr">
        <is>
          <t>SUPPORTS_ISSUE</t>
        </is>
      </c>
      <c r="E100" s="3" t="inlineStr">
        <is>
          <t>MOTION_ASSERTION</t>
        </is>
      </c>
      <c r="F100" s="3" t="inlineStr"/>
      <c r="G100" s="3" t="inlineStr"/>
      <c r="H100" s="3" t="inlineStr"/>
      <c r="I100" s="3" t="n">
        <v>7</v>
      </c>
      <c r="J100" s="3" t="inlineStr">
        <is>
          <t>UNREVIEWED</t>
        </is>
      </c>
      <c r="K100" s="3" t="inlineStr">
        <is>
          <t>Imported from JSON</t>
        </is>
      </c>
      <c r="L100" s="3" t="inlineStr">
        <is>
          <t>Medium</t>
        </is>
      </c>
      <c r="M100" s="3" t="inlineStr">
        <is>
          <t>Assertion anchored to Miami Mold Ex. 11</t>
        </is>
      </c>
      <c r="N100" s="3" t="inlineStr">
        <is>
          <t>NO</t>
        </is>
      </c>
    </row>
    <row r="101">
      <c r="A101" s="3" t="inlineStr">
        <is>
          <t>E00100</t>
        </is>
      </c>
      <c r="B101" s="3" t="inlineStr">
        <is>
          <t>REPLY-A11</t>
        </is>
      </c>
      <c r="C101" s="3" t="inlineStr">
        <is>
          <t>I-SECDEP</t>
        </is>
      </c>
      <c r="D101" s="3" t="inlineStr">
        <is>
          <t>RELATES_TO_ISSUE</t>
        </is>
      </c>
      <c r="E101" s="3" t="inlineStr">
        <is>
          <t>MOTION_ASSERTION</t>
        </is>
      </c>
      <c r="F101" s="3" t="inlineStr"/>
      <c r="G101" s="3" t="inlineStr"/>
      <c r="H101" s="3" t="inlineStr"/>
      <c r="I101" s="3" t="n">
        <v>6</v>
      </c>
      <c r="J101" s="3" t="inlineStr">
        <is>
          <t>UNREVIEWED</t>
        </is>
      </c>
      <c r="K101" s="3" t="inlineStr">
        <is>
          <t>Imported from JSON</t>
        </is>
      </c>
      <c r="L101" s="3" t="inlineStr">
        <is>
          <t>Medium</t>
        </is>
      </c>
      <c r="M101" s="3" t="inlineStr">
        <is>
          <t>Assertion re: lack of required notice</t>
        </is>
      </c>
      <c r="N101" s="3" t="inlineStr">
        <is>
          <t>NO</t>
        </is>
      </c>
    </row>
    <row r="102">
      <c r="A102" s="3" t="inlineStr">
        <is>
          <t>E00101</t>
        </is>
      </c>
      <c r="B102" s="3" t="inlineStr">
        <is>
          <t>DIN-148</t>
        </is>
      </c>
      <c r="C102" s="3" t="inlineStr">
        <is>
          <t>2020-000746-CA-01</t>
        </is>
      </c>
      <c r="D102" s="3" t="inlineStr">
        <is>
          <t>FILED_IN</t>
        </is>
      </c>
      <c r="E102" s="3" t="inlineStr">
        <is>
          <t>MOTION_ASSERTION</t>
        </is>
      </c>
      <c r="F102" s="3" t="inlineStr"/>
      <c r="G102" s="3" t="inlineStr"/>
      <c r="H102" s="3" t="inlineStr"/>
      <c r="I102" s="3" t="n">
        <v>3</v>
      </c>
      <c r="J102" s="3" t="inlineStr">
        <is>
          <t>UNREVIEWED</t>
        </is>
      </c>
      <c r="K102" s="3" t="inlineStr">
        <is>
          <t>Imported from JSON</t>
        </is>
      </c>
      <c r="L102" s="3" t="inlineStr">
        <is>
          <t>Medium</t>
        </is>
      </c>
      <c r="M102" s="3" t="inlineStr">
        <is>
          <t>Record_Pages: 1036-1039</t>
        </is>
      </c>
      <c r="N102" s="3" t="inlineStr">
        <is>
          <t>NO</t>
        </is>
      </c>
    </row>
    <row r="103">
      <c r="A103" s="3" t="inlineStr">
        <is>
          <t>E00102</t>
        </is>
      </c>
      <c r="B103" s="3" t="inlineStr">
        <is>
          <t>FOF-1</t>
        </is>
      </c>
      <c r="C103" s="3" t="inlineStr">
        <is>
          <t>E-LEASE-01</t>
        </is>
      </c>
      <c r="D103" s="3" t="inlineStr">
        <is>
          <t>ESTABLISHES</t>
        </is>
      </c>
      <c r="E103" s="3" t="inlineStr">
        <is>
          <t>COURT_FINDING</t>
        </is>
      </c>
      <c r="F103" s="3" t="inlineStr"/>
      <c r="G103" s="3" t="inlineStr"/>
      <c r="H103" s="3" t="inlineStr"/>
      <c r="I103" s="3" t="n">
        <v>32</v>
      </c>
      <c r="J103" s="3" t="inlineStr">
        <is>
          <t>UNREVIEWED</t>
        </is>
      </c>
      <c r="K103" s="3" t="inlineStr">
        <is>
          <t>Imported from JSON</t>
        </is>
      </c>
      <c r="L103" s="3" t="inlineStr">
        <is>
          <t>Medium</t>
        </is>
      </c>
      <c r="M103" s="3" t="inlineStr">
        <is>
          <t>Plaintiff, Eli Cohen ('Plaintiff'), and Defendants, Jeff Atlas and Susan Atlas ('Defendants'), entered into a written residential lease agreement (the 'Lease') commencing on December 22, 2017 and ending on December 21, 2018</t>
        </is>
      </c>
      <c r="N103" s="3" t="inlineStr">
        <is>
          <t>NO</t>
        </is>
      </c>
    </row>
    <row r="104">
      <c r="A104" s="3" t="inlineStr">
        <is>
          <t>E00103</t>
        </is>
      </c>
      <c r="B104" s="3" t="inlineStr">
        <is>
          <t>FOF-2</t>
        </is>
      </c>
      <c r="C104" s="3" t="inlineStr">
        <is>
          <t>E-LEASE-01</t>
        </is>
      </c>
      <c r="D104" s="3" t="inlineStr">
        <is>
          <t>ESTABLISHES</t>
        </is>
      </c>
      <c r="E104" s="3" t="inlineStr">
        <is>
          <t>COURT_FINDING</t>
        </is>
      </c>
      <c r="F104" s="3" t="inlineStr"/>
      <c r="G104" s="3" t="inlineStr"/>
      <c r="H104" s="3" t="inlineStr"/>
      <c r="I104" s="3" t="n">
        <v>44</v>
      </c>
      <c r="J104" s="3" t="inlineStr">
        <is>
          <t>UNREVIEWED</t>
        </is>
      </c>
      <c r="K104" s="3" t="inlineStr">
        <is>
          <t>Imported from JSON</t>
        </is>
      </c>
      <c r="L104" s="3" t="inlineStr">
        <is>
          <t>Medium</t>
        </is>
      </c>
      <c r="M104" s="3" t="inlineStr">
        <is>
          <t>Section IX of the Lease allocates various maintenance responsibilities between Plaintiff as tenant and Defendants as landlords, and states that Plaintiff shall solely be responsible for maintaining three categories of items: (1) locks and keys; (2) furniture; and (3) heating and air conditioning filters.</t>
        </is>
      </c>
      <c r="N104" s="3" t="inlineStr">
        <is>
          <t>NO</t>
        </is>
      </c>
    </row>
    <row r="105">
      <c r="A105" s="3" t="inlineStr">
        <is>
          <t>E00104</t>
        </is>
      </c>
      <c r="B105" s="3" t="inlineStr">
        <is>
          <t>FOF-3</t>
        </is>
      </c>
      <c r="C105" s="3" t="inlineStr">
        <is>
          <t>I-MAINT</t>
        </is>
      </c>
      <c r="D105" s="3" t="inlineStr">
        <is>
          <t>ESTABLISHES</t>
        </is>
      </c>
      <c r="E105" s="3" t="inlineStr">
        <is>
          <t>COURT_FINDING</t>
        </is>
      </c>
      <c r="F105" s="3" t="inlineStr"/>
      <c r="G105" s="3" t="inlineStr"/>
      <c r="H105" s="3" t="inlineStr"/>
      <c r="I105" s="3" t="n">
        <v>46</v>
      </c>
      <c r="J105" s="3" t="inlineStr">
        <is>
          <t>UNREVIEWED</t>
        </is>
      </c>
      <c r="K105" s="3" t="inlineStr">
        <is>
          <t>Imported from JSON</t>
        </is>
      </c>
      <c r="L105" s="3" t="inlineStr">
        <is>
          <t>Medium</t>
        </is>
      </c>
      <c r="M105" s="3" t="inlineStr">
        <is>
          <t>All other maintenance was to be performed by Defendants, including but not limited to, maintenance of running water, hot water, air conditioning, appliances, fixtures, and all 'major maintenance or major replacement of equipment', which is defined as repairs or replacements that cost more than $200.00.</t>
        </is>
      </c>
      <c r="N105" s="3" t="inlineStr">
        <is>
          <t>NO</t>
        </is>
      </c>
    </row>
    <row r="106">
      <c r="A106" s="3" t="inlineStr">
        <is>
          <t>E00105</t>
        </is>
      </c>
      <c r="B106" s="3" t="inlineStr">
        <is>
          <t>FOF-13</t>
        </is>
      </c>
      <c r="C106" s="3" t="inlineStr">
        <is>
          <t>I-DAMAGES</t>
        </is>
      </c>
      <c r="D106" s="3" t="inlineStr">
        <is>
          <t>ESTABLISHES</t>
        </is>
      </c>
      <c r="E106" s="3" t="inlineStr">
        <is>
          <t>COURT_FINDING</t>
        </is>
      </c>
      <c r="F106" s="3" t="inlineStr"/>
      <c r="G106" s="3" t="inlineStr"/>
      <c r="H106" s="3" t="inlineStr"/>
      <c r="I106" s="3" t="n">
        <v>30</v>
      </c>
      <c r="J106" s="3" t="inlineStr">
        <is>
          <t>UNREVIEWED</t>
        </is>
      </c>
      <c r="K106" s="3" t="inlineStr">
        <is>
          <t>Imported from JSON</t>
        </is>
      </c>
      <c r="L106" s="3" t="inlineStr">
        <is>
          <t>Medium</t>
        </is>
      </c>
      <c r="M106" s="3" t="inlineStr">
        <is>
          <t>As a result of Defendants' failure to comply with their maintenance obligations under the Lease, Plaintiff was forced to pay $2,026.49 for replacement of the washer and dryer.</t>
        </is>
      </c>
      <c r="N106" s="3" t="inlineStr">
        <is>
          <t>NO</t>
        </is>
      </c>
    </row>
    <row r="107">
      <c r="A107" s="3" t="inlineStr">
        <is>
          <t>E00106</t>
        </is>
      </c>
      <c r="B107" s="3" t="inlineStr">
        <is>
          <t>FOF-14</t>
        </is>
      </c>
      <c r="C107" s="3" t="inlineStr">
        <is>
          <t>I-DAMAGES</t>
        </is>
      </c>
      <c r="D107" s="3" t="inlineStr">
        <is>
          <t>ESTABLISHES</t>
        </is>
      </c>
      <c r="E107" s="3" t="inlineStr">
        <is>
          <t>COURT_FINDING</t>
        </is>
      </c>
      <c r="F107" s="3" t="inlineStr"/>
      <c r="G107" s="3" t="inlineStr"/>
      <c r="H107" s="3" t="inlineStr"/>
      <c r="I107" s="3" t="n">
        <v>23</v>
      </c>
      <c r="J107" s="3" t="inlineStr">
        <is>
          <t>UNREVIEWED</t>
        </is>
      </c>
      <c r="K107" s="3" t="inlineStr">
        <is>
          <t>Imported from JSON</t>
        </is>
      </c>
      <c r="L107" s="3" t="inlineStr">
        <is>
          <t>Medium</t>
        </is>
      </c>
      <c r="M107" s="3" t="inlineStr">
        <is>
          <t>Plaintiff was forced to retain Miami Mold, a mold remediation specialist, at a cost of $6,500 for professional mold inspection and remediation.</t>
        </is>
      </c>
      <c r="N107" s="3" t="inlineStr">
        <is>
          <t>NO</t>
        </is>
      </c>
    </row>
    <row r="108">
      <c r="A108" s="3" t="inlineStr">
        <is>
          <t>E00107</t>
        </is>
      </c>
      <c r="B108" s="3" t="inlineStr">
        <is>
          <t>FOF-16</t>
        </is>
      </c>
      <c r="C108" s="3" t="inlineStr">
        <is>
          <t>I-DAMAGES</t>
        </is>
      </c>
      <c r="D108" s="3" t="inlineStr">
        <is>
          <t>ESTABLISHES</t>
        </is>
      </c>
      <c r="E108" s="3" t="inlineStr">
        <is>
          <t>COURT_FINDING</t>
        </is>
      </c>
      <c r="F108" s="3" t="inlineStr"/>
      <c r="G108" s="3" t="inlineStr"/>
      <c r="H108" s="3" t="inlineStr">
        <is>
          <t>Plaintiff sustained damages totaling at least $8,526.49 as a direct result of Defendants' breach.</t>
        </is>
      </c>
      <c r="I108" s="3" t="n">
        <v>16</v>
      </c>
      <c r="J108" s="3" t="inlineStr">
        <is>
          <t>UNREVIEWED</t>
        </is>
      </c>
      <c r="K108" s="3" t="inlineStr">
        <is>
          <t>Imported from JSON</t>
        </is>
      </c>
      <c r="L108" s="3" t="inlineStr">
        <is>
          <t>Medium</t>
        </is>
      </c>
      <c r="M108" s="3" t="n"/>
      <c r="N108" s="3" t="inlineStr">
        <is>
          <t>YES</t>
        </is>
      </c>
    </row>
    <row r="109">
      <c r="A109" s="3" t="inlineStr">
        <is>
          <t>E00108</t>
        </is>
      </c>
      <c r="B109" s="3" t="inlineStr">
        <is>
          <t>FOF-17</t>
        </is>
      </c>
      <c r="C109" s="3" t="inlineStr">
        <is>
          <t>I-SECDEP</t>
        </is>
      </c>
      <c r="D109" s="3" t="inlineStr">
        <is>
          <t>ESTABLISHES</t>
        </is>
      </c>
      <c r="E109" s="3" t="inlineStr">
        <is>
          <t>COURT_FINDING</t>
        </is>
      </c>
      <c r="F109" s="3" t="inlineStr"/>
      <c r="G109" s="3" t="inlineStr"/>
      <c r="H109" s="3" t="inlineStr"/>
      <c r="I109" s="3" t="n">
        <v>21</v>
      </c>
      <c r="J109" s="3" t="inlineStr">
        <is>
          <t>UNREVIEWED</t>
        </is>
      </c>
      <c r="K109" s="3" t="inlineStr">
        <is>
          <t>Imported from JSON</t>
        </is>
      </c>
      <c r="L109" s="3" t="inlineStr">
        <is>
          <t>Medium</t>
        </is>
      </c>
      <c r="M109" s="3" t="inlineStr">
        <is>
          <t>At the conclusion of the Lease term, Plaintiff vacated the Unit and demanded return of his $4,200.00 security deposit.</t>
        </is>
      </c>
      <c r="N109" s="3" t="inlineStr">
        <is>
          <t>NO</t>
        </is>
      </c>
    </row>
    <row r="110">
      <c r="A110" s="3" t="inlineStr">
        <is>
          <t>E00109</t>
        </is>
      </c>
      <c r="B110" s="3" t="inlineStr">
        <is>
          <t>FOF-18</t>
        </is>
      </c>
      <c r="C110" s="3" t="inlineStr">
        <is>
          <t>I-SECDEP</t>
        </is>
      </c>
      <c r="D110" s="3" t="inlineStr">
        <is>
          <t>ESTABLISHES</t>
        </is>
      </c>
      <c r="E110" s="3" t="inlineStr">
        <is>
          <t>COURT_FINDING</t>
        </is>
      </c>
      <c r="F110" s="3" t="inlineStr"/>
      <c r="G110" s="3" t="inlineStr"/>
      <c r="H110" s="3" t="inlineStr"/>
      <c r="I110" s="3" t="n">
        <v>33</v>
      </c>
      <c r="J110" s="3" t="inlineStr">
        <is>
          <t>UNREVIEWED</t>
        </is>
      </c>
      <c r="K110" s="3" t="inlineStr">
        <is>
          <t>Imported from JSON</t>
        </is>
      </c>
      <c r="L110" s="3" t="inlineStr">
        <is>
          <t>Medium</t>
        </is>
      </c>
      <c r="M110" s="3" t="inlineStr">
        <is>
          <t>Defendants did not return the deposit and did not provide written notice of a claim against the deposit within the thirty (30) days as required by Section 83.49(3)(a), Florida Statutes.</t>
        </is>
      </c>
      <c r="N110" s="3" t="inlineStr">
        <is>
          <t>NO</t>
        </is>
      </c>
    </row>
    <row r="111">
      <c r="A111" s="3" t="inlineStr">
        <is>
          <t>E00110</t>
        </is>
      </c>
      <c r="B111" s="3" t="inlineStr">
        <is>
          <t>FOF-19</t>
        </is>
      </c>
      <c r="C111" s="3" t="inlineStr">
        <is>
          <t>I-SUMMARY</t>
        </is>
      </c>
      <c r="D111" s="3" t="inlineStr">
        <is>
          <t>ESTABLISHES</t>
        </is>
      </c>
      <c r="E111" s="3" t="inlineStr">
        <is>
          <t>COURT_FINDING</t>
        </is>
      </c>
      <c r="F111" s="3" t="inlineStr"/>
      <c r="G111" s="3" t="inlineStr"/>
      <c r="H111" s="3" t="inlineStr"/>
      <c r="I111" s="3" t="n">
        <v>34</v>
      </c>
      <c r="J111" s="3" t="inlineStr">
        <is>
          <t>UNREVIEWED</t>
        </is>
      </c>
      <c r="K111" s="3" t="inlineStr">
        <is>
          <t>Imported from JSON</t>
        </is>
      </c>
      <c r="L111" s="3" t="inlineStr">
        <is>
          <t>Medium</t>
        </is>
      </c>
      <c r="M111" s="3" t="inlineStr">
        <is>
          <t>Defendants have presented no evidence to create a genuine issue of material fact regarding any of Plaintiff's claims, including breach of contract, negligent misrepresentation, or statutory violation of Section 83.48, Florida Statutes.</t>
        </is>
      </c>
      <c r="N111" s="3" t="inlineStr">
        <is>
          <t>NO</t>
        </is>
      </c>
    </row>
    <row r="112">
      <c r="A112" s="3" t="inlineStr">
        <is>
          <t>E00111</t>
        </is>
      </c>
      <c r="B112" s="3" t="inlineStr">
        <is>
          <t>COL-COUNT1</t>
        </is>
      </c>
      <c r="C112" s="3" t="inlineStr">
        <is>
          <t>I-MAINT</t>
        </is>
      </c>
      <c r="D112" s="3" t="inlineStr">
        <is>
          <t>DECIDES</t>
        </is>
      </c>
      <c r="E112" s="3" t="inlineStr">
        <is>
          <t>COURT_FINDING</t>
        </is>
      </c>
      <c r="F112" s="3" t="inlineStr"/>
      <c r="G112" s="3" t="inlineStr"/>
      <c r="H112" s="3" t="inlineStr"/>
      <c r="I112" s="3" t="n">
        <v>43</v>
      </c>
      <c r="J112" s="3" t="inlineStr">
        <is>
          <t>UNREVIEWED</t>
        </is>
      </c>
      <c r="K112" s="3" t="inlineStr">
        <is>
          <t>Imported from JSON</t>
        </is>
      </c>
      <c r="L112" s="3" t="inlineStr">
        <is>
          <t>Medium</t>
        </is>
      </c>
      <c r="M112" s="3" t="inlineStr">
        <is>
          <t>Defendants' failure to perform necessary repairs under the Lease constitutes a material breach of the Lease's express maintenance provisions. Plaintiff is the prevailing party on this claim and entitled to attorneys' fees and costs based upon the express language of the Lease.</t>
        </is>
      </c>
      <c r="N112" s="3" t="inlineStr">
        <is>
          <t>NO</t>
        </is>
      </c>
    </row>
    <row r="113">
      <c r="A113" s="3" t="inlineStr">
        <is>
          <t>E00112</t>
        </is>
      </c>
      <c r="B113" s="3" t="inlineStr">
        <is>
          <t>COL-COUNT2</t>
        </is>
      </c>
      <c r="C113" s="3" t="inlineStr">
        <is>
          <t>I-MISREP</t>
        </is>
      </c>
      <c r="D113" s="3" t="inlineStr">
        <is>
          <t>DECIDES</t>
        </is>
      </c>
      <c r="E113" s="3" t="inlineStr">
        <is>
          <t>COURT_FINDING</t>
        </is>
      </c>
      <c r="F113" s="3" t="inlineStr"/>
      <c r="G113" s="3" t="inlineStr"/>
      <c r="H113" s="3" t="inlineStr">
        <is>
          <t>The facts support the conclusion that Defendants' conduct constituted negligent misrepresentation, and Plaintiff is entitled to judgment on this claim.</t>
        </is>
      </c>
      <c r="I113" s="3" t="n">
        <v>20</v>
      </c>
      <c r="J113" s="3" t="inlineStr">
        <is>
          <t>UNREVIEWED</t>
        </is>
      </c>
      <c r="K113" s="3" t="inlineStr">
        <is>
          <t>Imported from JSON</t>
        </is>
      </c>
      <c r="L113" s="3" t="inlineStr">
        <is>
          <t>Medium</t>
        </is>
      </c>
      <c r="M113" s="3" t="n"/>
      <c r="N113" s="3" t="inlineStr">
        <is>
          <t>YES</t>
        </is>
      </c>
    </row>
    <row r="114">
      <c r="A114" s="3" t="inlineStr">
        <is>
          <t>E00113</t>
        </is>
      </c>
      <c r="B114" s="3" t="inlineStr">
        <is>
          <t>COL-COUNT3</t>
        </is>
      </c>
      <c r="C114" s="3" t="inlineStr">
        <is>
          <t>I-SECDEP</t>
        </is>
      </c>
      <c r="D114" s="3" t="inlineStr">
        <is>
          <t>DECIDES</t>
        </is>
      </c>
      <c r="E114" s="3" t="inlineStr">
        <is>
          <t>COURT_FINDING</t>
        </is>
      </c>
      <c r="F114" s="3" t="inlineStr"/>
      <c r="G114" s="3" t="inlineStr"/>
      <c r="H114" s="3" t="inlineStr"/>
      <c r="I114" s="3" t="n">
        <v>63</v>
      </c>
      <c r="J114" s="3" t="inlineStr">
        <is>
          <t>UNREVIEWED</t>
        </is>
      </c>
      <c r="K114" s="3" t="inlineStr">
        <is>
          <t>Imported from JSON</t>
        </is>
      </c>
      <c r="L114" s="3" t="inlineStr">
        <is>
          <t>Medium</t>
        </is>
      </c>
      <c r="M114" s="3" t="inlineStr">
        <is>
          <t>Because Defendants failed to issue the required statutory notice, they forfeited any right to impose a claim against the security deposit. Accordingly, based on Defendants' noncompliance with Florida Statutes, Plaintiff is entitled to summary judgment on this claim, the immediate return of the full $4,200 security deposit, and entitled to an award of attorneys' fees and costs under Fla. Stat. § 83.48.</t>
        </is>
      </c>
      <c r="N114" s="3" t="inlineStr">
        <is>
          <t>NO</t>
        </is>
      </c>
    </row>
    <row r="115">
      <c r="A115" s="3" t="inlineStr">
        <is>
          <t>E00114</t>
        </is>
      </c>
      <c r="B115" s="3" t="inlineStr">
        <is>
          <t>AD-1-REJECTED</t>
        </is>
      </c>
      <c r="C115" s="3" t="inlineStr">
        <is>
          <t>JEFF_ATLAS</t>
        </is>
      </c>
      <c r="D115" s="3" t="inlineStr">
        <is>
          <t>REJECTS_DEFENSE</t>
        </is>
      </c>
      <c r="E115" s="3" t="inlineStr">
        <is>
          <t>COURT_FINDING</t>
        </is>
      </c>
      <c r="F115" s="3" t="inlineStr"/>
      <c r="G115" s="3" t="inlineStr"/>
      <c r="H115" s="3" t="inlineStr"/>
      <c r="I115" s="3" t="n">
        <v>24</v>
      </c>
      <c r="J115" s="3" t="inlineStr">
        <is>
          <t>UNREVIEWED</t>
        </is>
      </c>
      <c r="K115" s="3" t="inlineStr">
        <is>
          <t>Imported from JSON</t>
        </is>
      </c>
      <c r="L115" s="3" t="inlineStr">
        <is>
          <t>Medium</t>
        </is>
      </c>
      <c r="M115" s="3" t="inlineStr">
        <is>
          <t>Defendants' claim that Plaintiff violated condominium rules concerning mold and water intrusion is inapplicable. Under the Lease, Defendants were responsible for maintaining the Unit.</t>
        </is>
      </c>
      <c r="N115" s="3" t="inlineStr">
        <is>
          <t>NO</t>
        </is>
      </c>
    </row>
    <row r="116">
      <c r="A116" s="3" t="inlineStr">
        <is>
          <t>E00115</t>
        </is>
      </c>
      <c r="B116" s="3" t="inlineStr">
        <is>
          <t>AD-2-REJECTED</t>
        </is>
      </c>
      <c r="C116" s="3" t="inlineStr">
        <is>
          <t>JEFF_ATLAS</t>
        </is>
      </c>
      <c r="D116" s="3" t="inlineStr">
        <is>
          <t>REJECTS_DEFENSE</t>
        </is>
      </c>
      <c r="E116" s="3" t="inlineStr">
        <is>
          <t>COURT_FINDING</t>
        </is>
      </c>
      <c r="F116" s="3" t="inlineStr"/>
      <c r="G116" s="3" t="inlineStr"/>
      <c r="H116" s="3" t="inlineStr"/>
      <c r="I116" s="3" t="n">
        <v>39</v>
      </c>
      <c r="J116" s="3" t="inlineStr">
        <is>
          <t>UNREVIEWED</t>
        </is>
      </c>
      <c r="K116" s="3" t="inlineStr">
        <is>
          <t>Imported from JSON</t>
        </is>
      </c>
      <c r="L116" s="3" t="inlineStr">
        <is>
          <t>Medium</t>
        </is>
      </c>
      <c r="M116" s="3" t="inlineStr">
        <is>
          <t>The record reflects that Plaintiff made multiple efforts to have Defendants repair the Unit. Plaintiff only engaged third-party contractors when Defendants failed to act. There is no evidence to support the defense that Plaintiff failed to mitigate damages.</t>
        </is>
      </c>
      <c r="N116" s="3" t="inlineStr">
        <is>
          <t>NO</t>
        </is>
      </c>
    </row>
    <row r="117">
      <c r="A117" s="3" t="inlineStr">
        <is>
          <t>E00116</t>
        </is>
      </c>
      <c r="B117" s="3" t="inlineStr">
        <is>
          <t>AD-3-REJECTED</t>
        </is>
      </c>
      <c r="C117" s="3" t="inlineStr">
        <is>
          <t>JEFF_ATLAS</t>
        </is>
      </c>
      <c r="D117" s="3" t="inlineStr">
        <is>
          <t>REJECTS_DEFENSE</t>
        </is>
      </c>
      <c r="E117" s="3" t="inlineStr">
        <is>
          <t>COURT_FINDING</t>
        </is>
      </c>
      <c r="F117" s="3" t="inlineStr"/>
      <c r="G117" s="3" t="inlineStr"/>
      <c r="H117" s="3" t="inlineStr"/>
      <c r="I117" s="3" t="n">
        <v>24</v>
      </c>
      <c r="J117" s="3" t="inlineStr">
        <is>
          <t>UNREVIEWED</t>
        </is>
      </c>
      <c r="K117" s="3" t="inlineStr">
        <is>
          <t>Imported from JSON</t>
        </is>
      </c>
      <c r="L117" s="3" t="inlineStr">
        <is>
          <t>Medium</t>
        </is>
      </c>
      <c r="M117" s="3" t="inlineStr">
        <is>
          <t>Defendants have failed to articulate or present evidence to support any basis for set-off. Plaintiff does not owe Defendants any debt or obligation.</t>
        </is>
      </c>
      <c r="N117" s="3" t="inlineStr">
        <is>
          <t>NO</t>
        </is>
      </c>
    </row>
    <row r="118">
      <c r="A118" s="3" t="inlineStr">
        <is>
          <t>E00117</t>
        </is>
      </c>
      <c r="B118" s="3" t="inlineStr">
        <is>
          <t>AD-4-REJECTED</t>
        </is>
      </c>
      <c r="C118" s="3" t="inlineStr">
        <is>
          <t>I-SPOLIATION</t>
        </is>
      </c>
      <c r="D118" s="3" t="inlineStr">
        <is>
          <t>REJECTS_DEFENSE</t>
        </is>
      </c>
      <c r="E118" s="3" t="inlineStr">
        <is>
          <t>COURT_FINDING</t>
        </is>
      </c>
      <c r="F118" s="3" t="inlineStr"/>
      <c r="G118" s="3" t="inlineStr"/>
      <c r="H118" s="3" t="inlineStr"/>
      <c r="I118" s="3" t="n">
        <v>89</v>
      </c>
      <c r="J118" s="3" t="inlineStr">
        <is>
          <t>UNREVIEWED</t>
        </is>
      </c>
      <c r="K118" s="3" t="inlineStr">
        <is>
          <t>Imported from JSON</t>
        </is>
      </c>
      <c r="L118" s="3" t="inlineStr">
        <is>
          <t>Medium</t>
        </is>
      </c>
      <c r="M118" s="3" t="inlineStr">
        <is>
          <t>There is no evidence that Plaintiff destroyed or withheld any relevant evidence. Defendants were in possession of the Unit during the entirety of the Lease and for years after Plaintiff's tenancy and had ample opportunity to inspect and document the condition of the Unit as well as the washer and dryer at issue. Moreover, the Court finds that the current condition of the appliances and the apartment have no bearing on the condition of the appliances and the apartment at the time of the issues surrounding this case.</t>
        </is>
      </c>
      <c r="N118" s="3" t="inlineStr">
        <is>
          <t>NO</t>
        </is>
      </c>
    </row>
    <row r="119">
      <c r="A119" s="3" t="inlineStr">
        <is>
          <t>E00118</t>
        </is>
      </c>
      <c r="B119" s="3" t="inlineStr">
        <is>
          <t>AD-5-REJECTED</t>
        </is>
      </c>
      <c r="C119" s="3" t="inlineStr">
        <is>
          <t>JEFF_ATLAS</t>
        </is>
      </c>
      <c r="D119" s="3" t="inlineStr">
        <is>
          <t>REJECTS_DEFENSE</t>
        </is>
      </c>
      <c r="E119" s="3" t="inlineStr">
        <is>
          <t>COURT_FINDING</t>
        </is>
      </c>
      <c r="F119" s="3" t="inlineStr"/>
      <c r="G119" s="3" t="inlineStr"/>
      <c r="H119" s="3" t="inlineStr"/>
      <c r="I119" s="3" t="n">
        <v>46</v>
      </c>
      <c r="J119" s="3" t="inlineStr">
        <is>
          <t>UNREVIEWED</t>
        </is>
      </c>
      <c r="K119" s="3" t="inlineStr">
        <is>
          <t>Imported from JSON</t>
        </is>
      </c>
      <c r="L119" s="3" t="inlineStr">
        <is>
          <t>Medium</t>
        </is>
      </c>
      <c r="M119" s="3" t="inlineStr">
        <is>
          <t>Plaintiff has stated valid claims for Breach of Contract, Negligent Misrepresentation, and violation of Fla. Stat. § 83.49. The pleadings and record evidence support each element of the claims. Defendants have not submitted any evidence whatsoever to refute Plaintiff's claims or oppose this summary judgment.</t>
        </is>
      </c>
      <c r="N119" s="3" t="inlineStr">
        <is>
          <t>NO</t>
        </is>
      </c>
    </row>
    <row r="120">
      <c r="A120" s="3" t="inlineStr">
        <is>
          <t>E00119</t>
        </is>
      </c>
      <c r="B120" s="3" t="inlineStr">
        <is>
          <t>AD-6-REJECTED</t>
        </is>
      </c>
      <c r="C120" s="3" t="inlineStr">
        <is>
          <t>JEFF_ATLAS</t>
        </is>
      </c>
      <c r="D120" s="3" t="inlineStr">
        <is>
          <t>REJECTS_DEFENSE</t>
        </is>
      </c>
      <c r="E120" s="3" t="inlineStr">
        <is>
          <t>COURT_FINDING</t>
        </is>
      </c>
      <c r="F120" s="3" t="inlineStr"/>
      <c r="G120" s="3" t="inlineStr"/>
      <c r="H120" s="3" t="inlineStr"/>
      <c r="I120" s="3" t="n">
        <v>40</v>
      </c>
      <c r="J120" s="3" t="inlineStr">
        <is>
          <t>UNREVIEWED</t>
        </is>
      </c>
      <c r="K120" s="3" t="inlineStr">
        <is>
          <t>Imported from JSON</t>
        </is>
      </c>
      <c r="L120" s="3" t="inlineStr">
        <is>
          <t>Medium</t>
        </is>
      </c>
      <c r="M120" s="3" t="inlineStr">
        <is>
          <t>Defendants argue that Plaintiff performed work on the Unit without their consent. However, the evidence shows that Defendants unreasonably refused to perform necessary repairs and acted in bad faith. Plaintiff was compelled to undertake the repairs to preserve the Unit.</t>
        </is>
      </c>
      <c r="N120" s="3" t="inlineStr">
        <is>
          <t>NO</t>
        </is>
      </c>
    </row>
    <row r="121">
      <c r="A121" s="3" t="inlineStr">
        <is>
          <t>E00120</t>
        </is>
      </c>
      <c r="B121" s="3" t="inlineStr">
        <is>
          <t>AD-7-REJECTED</t>
        </is>
      </c>
      <c r="C121" s="3" t="inlineStr">
        <is>
          <t>JEFF_ATLAS</t>
        </is>
      </c>
      <c r="D121" s="3" t="inlineStr">
        <is>
          <t>REJECTS_DEFENSE</t>
        </is>
      </c>
      <c r="E121" s="3" t="inlineStr">
        <is>
          <t>COURT_FINDING</t>
        </is>
      </c>
      <c r="F121" s="3" t="inlineStr"/>
      <c r="G121" s="3" t="inlineStr"/>
      <c r="H121" s="3" t="inlineStr"/>
      <c r="I121" s="3" t="n">
        <v>28</v>
      </c>
      <c r="J121" s="3" t="inlineStr">
        <is>
          <t>UNREVIEWED</t>
        </is>
      </c>
      <c r="K121" s="3" t="inlineStr">
        <is>
          <t>Imported from JSON</t>
        </is>
      </c>
      <c r="L121" s="3" t="inlineStr">
        <is>
          <t>Medium</t>
        </is>
      </c>
      <c r="M121" s="3" t="inlineStr">
        <is>
          <t>Arguments previously raised in a motion to dismiss and denied by the Court do not constitute a viable affirmative defense. This defense fails as a matter of law.</t>
        </is>
      </c>
      <c r="N121" s="3" t="inlineStr">
        <is>
          <t>NO</t>
        </is>
      </c>
    </row>
    <row r="122">
      <c r="A122" s="3" t="inlineStr">
        <is>
          <t>E00121</t>
        </is>
      </c>
      <c r="B122" s="3" t="inlineStr">
        <is>
          <t>ORDER-1</t>
        </is>
      </c>
      <c r="C122" s="3" t="inlineStr">
        <is>
          <t>DIN-164</t>
        </is>
      </c>
      <c r="D122" s="3" t="inlineStr">
        <is>
          <t>GRANTS</t>
        </is>
      </c>
      <c r="E122" s="3" t="inlineStr">
        <is>
          <t>COURT_FINDING</t>
        </is>
      </c>
      <c r="F122" s="3" t="inlineStr"/>
      <c r="G122" s="3" t="inlineStr"/>
      <c r="H122" s="3" t="inlineStr">
        <is>
          <t>Plaintiff's Motion for Summary Judgment is hereby GRANTED.</t>
        </is>
      </c>
      <c r="I122" s="3" t="n">
        <v>9</v>
      </c>
      <c r="J122" s="3" t="inlineStr">
        <is>
          <t>UNREVIEWED</t>
        </is>
      </c>
      <c r="K122" s="3" t="inlineStr">
        <is>
          <t>Imported from JSON</t>
        </is>
      </c>
      <c r="L122" s="3" t="inlineStr">
        <is>
          <t>Medium</t>
        </is>
      </c>
      <c r="M122" s="3" t="n"/>
      <c r="N122" s="3" t="inlineStr">
        <is>
          <t>YES</t>
        </is>
      </c>
    </row>
    <row r="123">
      <c r="A123" s="3" t="inlineStr">
        <is>
          <t>E00122</t>
        </is>
      </c>
      <c r="B123" s="3" t="inlineStr">
        <is>
          <t>ORDER-2</t>
        </is>
      </c>
      <c r="C123" s="3" t="inlineStr">
        <is>
          <t>ELI_COHEN</t>
        </is>
      </c>
      <c r="D123" s="3" t="inlineStr">
        <is>
          <t>IN_FAVOR_OF</t>
        </is>
      </c>
      <c r="E123" s="3" t="inlineStr">
        <is>
          <t>COURT_FINDING</t>
        </is>
      </c>
      <c r="F123" s="3" t="inlineStr"/>
      <c r="G123" s="3" t="inlineStr"/>
      <c r="H123" s="3" t="inlineStr">
        <is>
          <t>Final Judgment shall be entered in favor of Plaintiff and against Defendants on all counts of the Second Amended Complaint.</t>
        </is>
      </c>
      <c r="I123" s="3" t="n">
        <v>20</v>
      </c>
      <c r="J123" s="3" t="inlineStr">
        <is>
          <t>UNREVIEWED</t>
        </is>
      </c>
      <c r="K123" s="3" t="inlineStr">
        <is>
          <t>Imported from JSON</t>
        </is>
      </c>
      <c r="L123" s="3" t="inlineStr">
        <is>
          <t>Medium</t>
        </is>
      </c>
      <c r="M123" s="3" t="n"/>
      <c r="N123" s="3" t="inlineStr">
        <is>
          <t>YES</t>
        </is>
      </c>
    </row>
    <row r="124">
      <c r="A124" s="3" t="inlineStr">
        <is>
          <t>E00123</t>
        </is>
      </c>
      <c r="B124" s="3" t="inlineStr">
        <is>
          <t>ORDER-3</t>
        </is>
      </c>
      <c r="C124" s="3" t="inlineStr">
        <is>
          <t>I-SECDEP</t>
        </is>
      </c>
      <c r="D124" s="3" t="inlineStr">
        <is>
          <t>AWARDS</t>
        </is>
      </c>
      <c r="E124" s="3" t="inlineStr">
        <is>
          <t>COURT_FINDING</t>
        </is>
      </c>
      <c r="F124" s="3" t="inlineStr"/>
      <c r="G124" s="3" t="inlineStr"/>
      <c r="H124" s="3" t="inlineStr"/>
      <c r="I124" s="3" t="n">
        <v>25</v>
      </c>
      <c r="J124" s="3" t="inlineStr">
        <is>
          <t>UNREVIEWED</t>
        </is>
      </c>
      <c r="K124" s="3" t="inlineStr">
        <is>
          <t>Imported from JSON</t>
        </is>
      </c>
      <c r="L124" s="3" t="inlineStr">
        <is>
          <t>Medium</t>
        </is>
      </c>
      <c r="M124" s="3" t="inlineStr">
        <is>
          <t>The Court finds that Plaintiff is entitled to attorneys' fees and costs under both the Lease terms and by statute under Fla. Stat. § 83.48.</t>
        </is>
      </c>
      <c r="N124" s="3" t="inlineStr">
        <is>
          <t>NO</t>
        </is>
      </c>
    </row>
    <row r="125">
      <c r="A125" s="3" t="inlineStr">
        <is>
          <t>E00124</t>
        </is>
      </c>
      <c r="B125" s="3" t="inlineStr">
        <is>
          <t>ORDER-4</t>
        </is>
      </c>
      <c r="C125" s="3" t="inlineStr">
        <is>
          <t>2020-000746-CA-01</t>
        </is>
      </c>
      <c r="D125" s="3" t="inlineStr">
        <is>
          <t>RESERVES</t>
        </is>
      </c>
      <c r="E125" s="3" t="inlineStr">
        <is>
          <t>COURT_FINDING</t>
        </is>
      </c>
      <c r="F125" s="3" t="inlineStr"/>
      <c r="G125" s="3" t="inlineStr"/>
      <c r="H125" s="3" t="inlineStr">
        <is>
          <t>The Court reserves jurisdiction to determine the amount of damages, attorneys' fees, and costs.</t>
        </is>
      </c>
      <c r="I125" s="3" t="n">
        <v>14</v>
      </c>
      <c r="J125" s="3" t="inlineStr">
        <is>
          <t>UNREVIEWED</t>
        </is>
      </c>
      <c r="K125" s="3" t="inlineStr">
        <is>
          <t>Imported from JSON</t>
        </is>
      </c>
      <c r="L125" s="3" t="inlineStr">
        <is>
          <t>Medium</t>
        </is>
      </c>
      <c r="M125" s="3" t="n"/>
      <c r="N125" s="3" t="inlineStr">
        <is>
          <t>YES</t>
        </is>
      </c>
    </row>
    <row r="126">
      <c r="A126" s="3" t="inlineStr">
        <is>
          <t>E00125</t>
        </is>
      </c>
      <c r="B126" s="3" t="inlineStr">
        <is>
          <t>Peoples_Trust_Ins_Co_v_Valentin_305_So_3d_324_Fla_3d_DCA_2020</t>
        </is>
      </c>
      <c r="C126" s="3" t="inlineStr">
        <is>
          <t>COL-COUNT1</t>
        </is>
      </c>
      <c r="D126" s="3" t="inlineStr">
        <is>
          <t>CITED_FOR</t>
        </is>
      </c>
      <c r="E126" s="3" t="inlineStr">
        <is>
          <t>COURT_FINDING</t>
        </is>
      </c>
      <c r="F126" s="3" t="inlineStr"/>
      <c r="G126" s="3" t="inlineStr"/>
      <c r="H126" s="3" t="inlineStr">
        <is>
          <t>A breach of contract claim requires: (1) a valid contract, (2) a material breach, and (3) damages.</t>
        </is>
      </c>
      <c r="I126" s="3" t="n">
        <v>17</v>
      </c>
      <c r="J126" s="3" t="inlineStr">
        <is>
          <t>UNREVIEWED</t>
        </is>
      </c>
      <c r="K126" s="3" t="inlineStr">
        <is>
          <t>Imported from JSON</t>
        </is>
      </c>
      <c r="L126" s="3" t="inlineStr">
        <is>
          <t>Medium</t>
        </is>
      </c>
      <c r="M126" s="3" t="n"/>
      <c r="N126" s="3" t="inlineStr">
        <is>
          <t>YES</t>
        </is>
      </c>
    </row>
    <row r="127">
      <c r="A127" s="3" t="inlineStr">
        <is>
          <t>E00126</t>
        </is>
      </c>
      <c r="B127" s="3" t="inlineStr">
        <is>
          <t>Coral_Gables_Distribution_Inc_v_Milich_992_So_2d_302_Fla_3d_DCA_2008</t>
        </is>
      </c>
      <c r="C127" s="3" t="inlineStr">
        <is>
          <t>COL-COUNT2</t>
        </is>
      </c>
      <c r="D127" s="3" t="inlineStr">
        <is>
          <t>CITED_FOR</t>
        </is>
      </c>
      <c r="E127" s="3" t="inlineStr">
        <is>
          <t>COURT_FINDING</t>
        </is>
      </c>
      <c r="F127" s="3" t="inlineStr"/>
      <c r="G127" s="3" t="inlineStr"/>
      <c r="H127" s="3" t="inlineStr"/>
      <c r="I127" s="3" t="n">
        <v>25</v>
      </c>
      <c r="J127" s="3" t="inlineStr">
        <is>
          <t>UNREVIEWED</t>
        </is>
      </c>
      <c r="K127" s="3" t="inlineStr">
        <is>
          <t>Imported from JSON</t>
        </is>
      </c>
      <c r="L127" s="3" t="inlineStr">
        <is>
          <t>Medium</t>
        </is>
      </c>
      <c r="M127" s="3" t="inlineStr">
        <is>
          <t>To prove negligent misrepresentation, it must be shown that (1) there was a misrepresentation of material fact; (2) the representer either knew of the misrepresentation...</t>
        </is>
      </c>
      <c r="N127" s="3" t="inlineStr">
        <is>
          <t>NO</t>
        </is>
      </c>
    </row>
    <row r="128">
      <c r="A128" s="3" t="inlineStr">
        <is>
          <t>E00127</t>
        </is>
      </c>
      <c r="B128" s="3" t="inlineStr">
        <is>
          <t>Fla_Stat_83493</t>
        </is>
      </c>
      <c r="C128" s="3" t="inlineStr">
        <is>
          <t>COL-COUNT3</t>
        </is>
      </c>
      <c r="D128" s="3" t="inlineStr">
        <is>
          <t>CITED_FOR</t>
        </is>
      </c>
      <c r="E128" s="3" t="inlineStr">
        <is>
          <t>COURT_FINDING</t>
        </is>
      </c>
      <c r="F128" s="3" t="inlineStr"/>
      <c r="G128" s="3" t="inlineStr"/>
      <c r="H128" s="3" t="inlineStr"/>
      <c r="I128" s="3" t="n">
        <v>39</v>
      </c>
      <c r="J128" s="3" t="inlineStr">
        <is>
          <t>UNREVIEWED</t>
        </is>
      </c>
      <c r="K128" s="3" t="inlineStr">
        <is>
          <t>Imported from JSON</t>
        </is>
      </c>
      <c r="L128" s="3" t="inlineStr">
        <is>
          <t>Medium</t>
        </is>
      </c>
      <c r="M128" s="3" t="inlineStr">
        <is>
          <t>Upon the vacating of the premises for termination of the lease, if the landlord does not intend to impose a claim on the security deposit, the landlord shall have 15 days to return the security deposit together with interest...</t>
        </is>
      </c>
      <c r="N128" s="3" t="inlineStr">
        <is>
          <t>NO</t>
        </is>
      </c>
    </row>
    <row r="129">
      <c r="A129" s="3" t="inlineStr">
        <is>
          <t>E00128</t>
        </is>
      </c>
      <c r="B129" s="3" t="inlineStr">
        <is>
          <t>Wootton_v_Iron_Acquisitions_LLC_338_So_3d_425_Fla_2d_DCA_2022</t>
        </is>
      </c>
      <c r="C129" s="3" t="inlineStr">
        <is>
          <t>COL-COUNT3</t>
        </is>
      </c>
      <c r="D129" s="3" t="inlineStr">
        <is>
          <t>CITED_FOR</t>
        </is>
      </c>
      <c r="E129" s="3" t="inlineStr">
        <is>
          <t>COURT_FINDING</t>
        </is>
      </c>
      <c r="F129" s="3" t="inlineStr"/>
      <c r="G129" s="3" t="inlineStr"/>
      <c r="H129" s="3" t="inlineStr">
        <is>
          <t>Florida courts have made clear that strict compliance with § 83.49 is mandatory</t>
        </is>
      </c>
      <c r="I129" s="3" t="n">
        <v>13</v>
      </c>
      <c r="J129" s="3" t="inlineStr">
        <is>
          <t>UNREVIEWED</t>
        </is>
      </c>
      <c r="K129" s="3" t="inlineStr">
        <is>
          <t>Imported from JSON</t>
        </is>
      </c>
      <c r="L129" s="3" t="inlineStr">
        <is>
          <t>Medium</t>
        </is>
      </c>
      <c r="M129" s="3" t="n"/>
      <c r="N129" s="3" t="inlineStr">
        <is>
          <t>YES</t>
        </is>
      </c>
    </row>
    <row r="130">
      <c r="A130" s="3" t="inlineStr">
        <is>
          <t>E00129</t>
        </is>
      </c>
      <c r="B130" s="3" t="inlineStr">
        <is>
          <t>Martinez_v_Rds_Point_Townhomes_Inc_393_So_3d_755_Fla_3d_DCA_2024</t>
        </is>
      </c>
      <c r="C130" s="3" t="inlineStr">
        <is>
          <t>COL-COUNT3</t>
        </is>
      </c>
      <c r="D130" s="3" t="inlineStr">
        <is>
          <t>CITED_FOR</t>
        </is>
      </c>
      <c r="E130" s="3" t="inlineStr">
        <is>
          <t>COURT_FINDING</t>
        </is>
      </c>
      <c r="F130" s="3" t="inlineStr"/>
      <c r="G130" s="3" t="inlineStr"/>
      <c r="H130" s="3" t="inlineStr"/>
      <c r="I130" s="3" t="n">
        <v>25</v>
      </c>
      <c r="J130" s="3" t="inlineStr">
        <is>
          <t>UNREVIEWED</t>
        </is>
      </c>
      <c r="K130" s="3" t="inlineStr">
        <is>
          <t>Imported from JSON</t>
        </is>
      </c>
      <c r="L130" s="3" t="inlineStr">
        <is>
          <t>Medium</t>
        </is>
      </c>
      <c r="M130" s="3" t="inlineStr">
        <is>
          <t>the Third District reaffirmed that a landlord's failure to give notice within the required 30-day window bars any claim to the security deposit</t>
        </is>
      </c>
      <c r="N130" s="3" t="inlineStr">
        <is>
          <t>NO</t>
        </is>
      </c>
    </row>
    <row r="131">
      <c r="A131" s="3" t="inlineStr">
        <is>
          <t>E00130</t>
        </is>
      </c>
      <c r="B131" s="3" t="inlineStr">
        <is>
          <t>CONTRADICTION-SECDEP</t>
        </is>
      </c>
      <c r="C131" s="3" t="inlineStr">
        <is>
          <t>FOF-18</t>
        </is>
      </c>
      <c r="D131" s="3" t="inlineStr">
        <is>
          <t>CONTRADICTS</t>
        </is>
      </c>
      <c r="E131" s="3" t="inlineStr">
        <is>
          <t>COURT_FINDING</t>
        </is>
      </c>
      <c r="F131" s="3" t="inlineStr"/>
      <c r="G131" s="3" t="inlineStr"/>
      <c r="H131" s="3" t="inlineStr"/>
      <c r="I131" s="3" t="n">
        <v>45</v>
      </c>
      <c r="J131" s="3" t="inlineStr">
        <is>
          <t>UNREVIEWED</t>
        </is>
      </c>
      <c r="K131" s="3" t="inlineStr">
        <is>
          <t>Imported from JSON</t>
        </is>
      </c>
      <c r="L131" s="3" t="inlineStr">
        <is>
          <t>Medium</t>
        </is>
      </c>
      <c r="M131" s="3" t="inlineStr">
        <is>
          <t>SFJ FOF-18: 'Defendants did not return the deposit and did not provide written notice of a claim against the deposit within the thirty (30) days' BUT E-SEC-01 'Notice of Intention to Impose Claim on Deposit' dated 01/06/2018 exists in record</t>
        </is>
      </c>
      <c r="N131" s="3" t="inlineStr">
        <is>
          <t>NO</t>
        </is>
      </c>
    </row>
    <row r="132">
      <c r="A132" s="3" t="inlineStr">
        <is>
          <t>E00131</t>
        </is>
      </c>
      <c r="B132" s="3" t="inlineStr">
        <is>
          <t>DIN-169</t>
        </is>
      </c>
      <c r="C132" s="3" t="inlineStr">
        <is>
          <t>2020-000746-CA-01</t>
        </is>
      </c>
      <c r="D132" s="3" t="inlineStr">
        <is>
          <t>JUDGMENT_IN</t>
        </is>
      </c>
      <c r="E132" s="3" t="inlineStr">
        <is>
          <t>COURT_FINDING</t>
        </is>
      </c>
      <c r="F132" s="3" t="inlineStr"/>
      <c r="G132" s="3" t="inlineStr"/>
      <c r="H132" s="3" t="inlineStr"/>
      <c r="I132" s="3" t="n">
        <v>3</v>
      </c>
      <c r="J132" s="3" t="inlineStr">
        <is>
          <t>UNREVIEWED</t>
        </is>
      </c>
      <c r="K132" s="3" t="inlineStr">
        <is>
          <t>Imported from JSON</t>
        </is>
      </c>
      <c r="L132" s="3" t="inlineStr">
        <is>
          <t>Medium</t>
        </is>
      </c>
      <c r="M132" s="3" t="inlineStr">
        <is>
          <t>Record_Pages: 1341-1354</t>
        </is>
      </c>
      <c r="N132" s="3" t="inlineStr">
        <is>
          <t>NO</t>
        </is>
      </c>
    </row>
    <row r="133">
      <c r="A133" s="3" t="inlineStr">
        <is>
          <t>E00132</t>
        </is>
      </c>
      <c r="B133" s="3" t="inlineStr">
        <is>
          <t>FOF-18</t>
        </is>
      </c>
      <c r="C133" s="3" t="inlineStr">
        <is>
          <t>I-SECDEP</t>
        </is>
      </c>
      <c r="D133" s="3" t="inlineStr">
        <is>
          <t>KEY_FINDING_FOR</t>
        </is>
      </c>
      <c r="E133" s="3" t="inlineStr">
        <is>
          <t>COURT_FINDING</t>
        </is>
      </c>
      <c r="F133" s="3" t="inlineStr"/>
      <c r="G133" s="3" t="inlineStr"/>
      <c r="H133" s="3" t="inlineStr">
        <is>
          <t>No notice finding contradicted by E-SEC-01</t>
        </is>
      </c>
      <c r="I133" s="3" t="n">
        <v>8</v>
      </c>
      <c r="J133" s="3" t="inlineStr">
        <is>
          <t>UNREVIEWED</t>
        </is>
      </c>
      <c r="K133" s="3" t="inlineStr">
        <is>
          <t>Imported from JSON</t>
        </is>
      </c>
      <c r="L133" s="3" t="inlineStr">
        <is>
          <t>Medium</t>
        </is>
      </c>
      <c r="M133" s="3" t="n"/>
      <c r="N133" s="3" t="inlineStr">
        <is>
          <t>YES</t>
        </is>
      </c>
    </row>
    <row r="134">
      <c r="A134" s="3" t="inlineStr">
        <is>
          <t>E00133</t>
        </is>
      </c>
      <c r="B134" s="3" t="inlineStr">
        <is>
          <t>AD-4-REJECTED</t>
        </is>
      </c>
      <c r="C134" s="3" t="inlineStr">
        <is>
          <t>REPLY-A5</t>
        </is>
      </c>
      <c r="D134" s="3" t="inlineStr">
        <is>
          <t>OPPOSES</t>
        </is>
      </c>
      <c r="E134" s="3" t="inlineStr">
        <is>
          <t>COURT_FINDING</t>
        </is>
      </c>
      <c r="F134" s="3" t="inlineStr"/>
      <c r="G134" s="3" t="inlineStr"/>
      <c r="H134" s="3" t="inlineStr">
        <is>
          <t>Court: 'no evidence Plaintiff destroyed evidence' vs. Reply: 'Police Report documents unauthorized removal'</t>
        </is>
      </c>
      <c r="I134" s="3" t="n">
        <v>13</v>
      </c>
      <c r="J134" s="3" t="inlineStr">
        <is>
          <t>UNREVIEWED</t>
        </is>
      </c>
      <c r="K134" s="3" t="inlineStr">
        <is>
          <t>Imported from JSON</t>
        </is>
      </c>
      <c r="L134" s="3" t="inlineStr">
        <is>
          <t>Medium</t>
        </is>
      </c>
      <c r="M134" s="3" t="n"/>
      <c r="N134" s="3" t="inlineStr">
        <is>
          <t>YES</t>
        </is>
      </c>
    </row>
  </sheetData>
  <dataValidations count="3">
    <dataValidation sqref="E2:E2000" showDropDown="0" showInputMessage="0" showErrorMessage="0" allowBlank="1" type="list">
      <formula1>"ROA_SPINE,EVIDENCE_ITEM,EVIDENCE_REFERENCE,MOTION_ASSERTION,COURT_FINDING"</formula1>
    </dataValidation>
    <dataValidation sqref="J2:J2000" showDropDown="0" showInputMessage="0" showErrorMessage="0" allowBlank="1" type="list">
      <formula1>"YES,NO,UNREVIEWED"</formula1>
    </dataValidation>
    <dataValidation sqref="L2:L2000" showDropDown="0" showInputMessage="0" showErrorMessage="0" allowBlank="1" type="list">
      <formula1>"High,Medium,Low"</formula1>
    </dataValidation>
  </dataValidation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7" customWidth="1" min="1" max="1"/>
    <col width="21" customWidth="1" min="2" max="2"/>
    <col width="12" customWidth="1" min="3" max="3"/>
    <col width="16" customWidth="1" min="4" max="4"/>
    <col width="12" customWidth="1" min="5" max="5"/>
    <col width="12" customWidth="1" min="6" max="6"/>
  </cols>
  <sheetData>
    <row r="1">
      <c r="A1" s="4" t="inlineStr">
        <is>
          <t>Alias_Entity_ID</t>
        </is>
      </c>
      <c r="B1" s="4" t="inlineStr">
        <is>
          <t>Canonical_Entity_ID</t>
        </is>
      </c>
      <c r="C1" s="4" t="inlineStr">
        <is>
          <t>Alias_Name</t>
        </is>
      </c>
      <c r="D1" s="4" t="inlineStr">
        <is>
          <t>Canonical_Name</t>
        </is>
      </c>
      <c r="E1" s="4" t="inlineStr">
        <is>
          <t>Reason</t>
        </is>
      </c>
      <c r="F1" s="4" t="inlineStr">
        <is>
          <t>Notes</t>
        </is>
      </c>
    </row>
    <row r="2">
      <c r="A2" s="3" t="inlineStr">
        <is>
          <t>CIR-169/DIN169</t>
        </is>
      </c>
      <c r="B2" s="3" t="inlineStr">
        <is>
          <t>DIN-169</t>
        </is>
      </c>
      <c r="C2" s="3" t="inlineStr">
        <is>
          <t>CIR-169 / DIN 169</t>
        </is>
      </c>
      <c r="D2" s="3" t="inlineStr">
        <is>
          <t>CIR-169 / DIN 169</t>
        </is>
      </c>
      <c r="E2" s="3" t="inlineStr">
        <is>
          <t>Normalized docket identifier (DIN/CIR)</t>
        </is>
      </c>
      <c r="F2" s="3" t="inlineStr"/>
    </row>
    <row r="3">
      <c r="A3" s="3" t="inlineStr">
        <is>
          <t>CIR-99/DIN99</t>
        </is>
      </c>
      <c r="B3" s="3" t="inlineStr">
        <is>
          <t>DIN-99</t>
        </is>
      </c>
      <c r="C3" s="3" t="inlineStr">
        <is>
          <t>CIR-99 / DIN 99</t>
        </is>
      </c>
      <c r="D3" s="3" t="inlineStr">
        <is>
          <t>CIR-99 / DIN 99</t>
        </is>
      </c>
      <c r="E3" s="3" t="inlineStr">
        <is>
          <t>Normalized docket identifier (DIN/CIR)</t>
        </is>
      </c>
      <c r="F3" s="3" t="inlineStr"/>
    </row>
    <row r="4">
      <c r="A4" s="3" t="inlineStr">
        <is>
          <t>CIR-109/DIN109</t>
        </is>
      </c>
      <c r="B4" s="3" t="inlineStr">
        <is>
          <t>DIN-109</t>
        </is>
      </c>
      <c r="C4" s="3" t="inlineStr">
        <is>
          <t>CIR-109 / DIN 109</t>
        </is>
      </c>
      <c r="D4" s="3" t="inlineStr">
        <is>
          <t>CIR-109 / DIN 109</t>
        </is>
      </c>
      <c r="E4" s="3" t="inlineStr">
        <is>
          <t>Normalized docket identifier (DIN/CIR)</t>
        </is>
      </c>
      <c r="F4" s="3" t="inlineStr"/>
    </row>
    <row r="5">
      <c r="A5" s="3" t="inlineStr">
        <is>
          <t>CIR-135/DIN135</t>
        </is>
      </c>
      <c r="B5" s="3" t="inlineStr">
        <is>
          <t>DIN-135</t>
        </is>
      </c>
      <c r="C5" s="3" t="inlineStr">
        <is>
          <t>CIR-135 / DIN 135</t>
        </is>
      </c>
      <c r="D5" s="3" t="inlineStr">
        <is>
          <t>CIR-135 / DIN 135</t>
        </is>
      </c>
      <c r="E5" s="3" t="inlineStr">
        <is>
          <t>Normalized docket identifier (DIN/CIR)</t>
        </is>
      </c>
      <c r="F5" s="3" t="inlineStr"/>
    </row>
    <row r="6">
      <c r="A6" s="3" t="inlineStr">
        <is>
          <t>CIR-161/DIN161</t>
        </is>
      </c>
      <c r="B6" s="3" t="inlineStr">
        <is>
          <t>DIN-161</t>
        </is>
      </c>
      <c r="C6" s="3" t="inlineStr">
        <is>
          <t>CIR-161 / DIN 161</t>
        </is>
      </c>
      <c r="D6" s="3" t="inlineStr">
        <is>
          <t>CIR-161 / DIN 161</t>
        </is>
      </c>
      <c r="E6" s="3" t="inlineStr">
        <is>
          <t>Normalized docket identifier (DIN/CIR)</t>
        </is>
      </c>
      <c r="F6" s="3" t="inlineStr"/>
    </row>
    <row r="7">
      <c r="A7" s="3" t="inlineStr">
        <is>
          <t>CIR-164/DIN164</t>
        </is>
      </c>
      <c r="B7" s="3" t="inlineStr">
        <is>
          <t>DIN-164</t>
        </is>
      </c>
      <c r="C7" s="3" t="inlineStr">
        <is>
          <t>CIR-164 / DIN 164</t>
        </is>
      </c>
      <c r="D7" s="3" t="inlineStr">
        <is>
          <t>CIR-164 / DIN 164</t>
        </is>
      </c>
      <c r="E7" s="3" t="inlineStr">
        <is>
          <t>Normalized docket identifier (DIN/CIR)</t>
        </is>
      </c>
      <c r="F7" s="3" t="inlineStr"/>
    </row>
    <row r="8">
      <c r="A8" s="3" t="inlineStr">
        <is>
          <t>CIR-148/DIN148</t>
        </is>
      </c>
      <c r="B8" s="3" t="inlineStr">
        <is>
          <t>DIN-148</t>
        </is>
      </c>
      <c r="C8" s="3" t="inlineStr">
        <is>
          <t>CIR-148 / DIN 148</t>
        </is>
      </c>
      <c r="D8" s="3" t="inlineStr">
        <is>
          <t>CIR-148 / DIN 148</t>
        </is>
      </c>
      <c r="E8" s="3" t="inlineStr">
        <is>
          <t>Normalized docket identifier (DIN/CIR)</t>
        </is>
      </c>
      <c r="F8" s="3" t="inlineStr"/>
    </row>
    <row r="9">
      <c r="A9" s="3" t="inlineStr">
        <is>
          <t>CIR-151/DIN151</t>
        </is>
      </c>
      <c r="B9" s="3" t="inlineStr">
        <is>
          <t>DIN-151</t>
        </is>
      </c>
      <c r="C9" s="3" t="inlineStr">
        <is>
          <t>CIR-151 / DIN 151</t>
        </is>
      </c>
      <c r="D9" s="3" t="inlineStr">
        <is>
          <t>CIR-151 / DIN 151</t>
        </is>
      </c>
      <c r="E9" s="3" t="inlineStr">
        <is>
          <t>Normalized docket identifier (DIN/CIR)</t>
        </is>
      </c>
      <c r="F9" s="3" t="inlineStr"/>
    </row>
    <row r="10">
      <c r="A10" s="3" t="inlineStr">
        <is>
          <t>CIR-158/DIN158</t>
        </is>
      </c>
      <c r="B10" s="3" t="inlineStr">
        <is>
          <t>DIN-158</t>
        </is>
      </c>
      <c r="C10" s="3" t="inlineStr">
        <is>
          <t>CIR-158 / DIN 158</t>
        </is>
      </c>
      <c r="D10" s="3" t="inlineStr">
        <is>
          <t>CIR-158 / DIN 158</t>
        </is>
      </c>
      <c r="E10" s="3" t="inlineStr">
        <is>
          <t>Normalized docket identifier (DIN/CIR)</t>
        </is>
      </c>
      <c r="F10" s="3" t="inlineStr"/>
    </row>
    <row r="11">
      <c r="A11" s="3" t="inlineStr">
        <is>
          <t>CIR-170/DIN170</t>
        </is>
      </c>
      <c r="B11" s="3" t="inlineStr">
        <is>
          <t>DIN-170</t>
        </is>
      </c>
      <c r="C11" s="3" t="inlineStr">
        <is>
          <t>CIR-170 / DIN 170</t>
        </is>
      </c>
      <c r="D11" s="3" t="inlineStr">
        <is>
          <t>CIR-170 / DIN 170</t>
        </is>
      </c>
      <c r="E11" s="3" t="inlineStr">
        <is>
          <t>Normalized docket identifier (DIN/CIR)</t>
        </is>
      </c>
      <c r="F11" s="3" t="inlineStr"/>
    </row>
    <row r="12">
      <c r="A12" s="3" t="inlineStr">
        <is>
          <t>CIR-176/DIN176</t>
        </is>
      </c>
      <c r="B12" s="3" t="inlineStr">
        <is>
          <t>DIN-176</t>
        </is>
      </c>
      <c r="C12" s="3" t="inlineStr">
        <is>
          <t>CIR-176 / DIN 176</t>
        </is>
      </c>
      <c r="D12" s="3" t="inlineStr">
        <is>
          <t>CIR-176 / DIN 176</t>
        </is>
      </c>
      <c r="E12" s="3" t="inlineStr">
        <is>
          <t>Normalized docket identifier (DIN/CIR)</t>
        </is>
      </c>
      <c r="F12" s="3" t="inlineStr"/>
    </row>
    <row r="13">
      <c r="A13" s="3" t="inlineStr">
        <is>
          <t>CIR-178/DIN178</t>
        </is>
      </c>
      <c r="B13" s="3" t="inlineStr">
        <is>
          <t>DIN-178</t>
        </is>
      </c>
      <c r="C13" s="3" t="inlineStr">
        <is>
          <t>CIR-178 / DIN 178</t>
        </is>
      </c>
      <c r="D13" s="3" t="inlineStr">
        <is>
          <t>CIR-178 / DIN 178</t>
        </is>
      </c>
      <c r="E13" s="3" t="inlineStr">
        <is>
          <t>Normalized docket identifier (DIN/CIR)</t>
        </is>
      </c>
      <c r="F13" s="3" t="inlineStr"/>
    </row>
    <row r="14">
      <c r="A14" s="3" t="inlineStr">
        <is>
          <t>CIR-173/DIN173</t>
        </is>
      </c>
      <c r="B14" s="3" t="inlineStr">
        <is>
          <t>DIN-173</t>
        </is>
      </c>
      <c r="C14" s="3" t="inlineStr">
        <is>
          <t>CIR-173 / DIN 173</t>
        </is>
      </c>
      <c r="D14" s="3" t="inlineStr">
        <is>
          <t>CIR-173 / DIN 173</t>
        </is>
      </c>
      <c r="E14" s="3" t="inlineStr">
        <is>
          <t>Normalized docket identifier (DIN/CIR)</t>
        </is>
      </c>
      <c r="F14" s="3"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2025-12-27T08:46:28Z</dcterms:created>
  <dcterms:modified xmlns:dcterms="http://purl.org/dc/terms/" xmlns:xsi="http://www.w3.org/2001/XMLSchema-instance" xsi:type="dcterms:W3CDTF">2025-12-27T09:31:33Z</dcterms:modified>
</cp:coreProperties>
</file>